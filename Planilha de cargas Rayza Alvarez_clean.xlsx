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FF489F-3931-4ED6-9ED6-A99930A54D30}" xr6:coauthVersionLast="47" xr6:coauthVersionMax="47" xr10:uidLastSave="{00000000-0000-0000-0000-000000000000}"/>
  <bookViews>
    <workbookView xWindow="-105" yWindow="0" windowWidth="14160" windowHeight="15585" firstSheet="4" activeTab="4" xr2:uid="{00000000-000D-0000-FFFF-FFFF00000000}"/>
  </bookViews>
  <sheets>
    <sheet name="Resumo da Exportação" sheetId="1" r:id="rId1"/>
    <sheet name="como preencher" sheetId="2" r:id="rId2"/>
    <sheet name="cargas - Planilha para acompanh" sheetId="3" r:id="rId3"/>
    <sheet name="feedback - Feedback do período" sheetId="4" r:id="rId4"/>
    <sheet name="feedback - Comentári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7" i="3" l="1" a="1"/>
  <c r="AH27" i="3"/>
  <c r="S27" i="3" a="1"/>
  <c r="S27" i="3"/>
  <c r="R27" i="3" a="1"/>
  <c r="AH26" i="3" a="1"/>
  <c r="S26" i="3" a="1"/>
  <c r="S26" i="3"/>
  <c r="R26" i="3" a="1"/>
  <c r="AH25" i="3" a="1"/>
  <c r="AH25" i="3"/>
  <c r="S25" i="3" a="1"/>
  <c r="R25" i="3" a="1"/>
  <c r="R25" i="3"/>
  <c r="AH24" i="3" a="1"/>
  <c r="AH24" i="3"/>
  <c r="S24" i="3" a="1"/>
  <c r="R24" i="3" a="1"/>
  <c r="R24" i="3"/>
  <c r="AH23" i="3" a="1"/>
  <c r="S23" i="3" a="1"/>
  <c r="R23" i="3" a="1"/>
  <c r="AH21" i="3" a="1"/>
  <c r="S21" i="3" a="1"/>
  <c r="R21" i="3" a="1"/>
  <c r="AH20" i="3" a="1"/>
  <c r="S20" i="3" a="1"/>
  <c r="R20" i="3" a="1"/>
  <c r="AH19" i="3" a="1"/>
  <c r="S19" i="3" a="1"/>
  <c r="R19" i="3" a="1"/>
  <c r="AH18" i="3" a="1"/>
  <c r="S18" i="3" a="1"/>
  <c r="R18" i="3" a="1"/>
  <c r="AH17" i="3" a="1"/>
  <c r="S17" i="3" a="1"/>
  <c r="R17" i="3" a="1"/>
  <c r="AH15" i="3" a="1"/>
  <c r="S15" i="3" a="1"/>
  <c r="R15" i="3" a="1"/>
  <c r="AH14" i="3" a="1"/>
  <c r="S14" i="3" a="1"/>
  <c r="R14" i="3" a="1"/>
  <c r="AH13" i="3" a="1"/>
  <c r="S13" i="3" a="1"/>
  <c r="R13" i="3" a="1"/>
  <c r="AH12" i="3" a="1"/>
  <c r="S12" i="3" a="1"/>
  <c r="R12" i="3" a="1"/>
  <c r="AH11" i="3" a="1"/>
  <c r="S11" i="3" a="1"/>
  <c r="R11" i="3" a="1"/>
  <c r="AH9" i="3" a="1"/>
  <c r="S9" i="3" a="1"/>
  <c r="R9" i="3" a="1"/>
  <c r="AH8" i="3" a="1"/>
  <c r="S8" i="3" a="1"/>
  <c r="R8" i="3" a="1"/>
  <c r="AH7" i="3" a="1"/>
  <c r="S7" i="3" a="1"/>
  <c r="R7" i="3" a="1"/>
  <c r="AH6" i="3" a="1"/>
  <c r="S6" i="3" a="1"/>
  <c r="R6" i="3" a="1"/>
  <c r="AH5" i="3" a="1"/>
  <c r="S5" i="3" a="1"/>
  <c r="R5" i="3" a="1"/>
  <c r="R7" i="3" l="1"/>
  <c r="AH5" i="3"/>
  <c r="R27" i="3"/>
  <c r="S7" i="3"/>
  <c r="AG7" i="3" s="1" a="1"/>
  <c r="R6" i="3"/>
  <c r="R26" i="3"/>
  <c r="AH23" i="3"/>
  <c r="S25" i="3"/>
  <c r="AG25" i="3" s="1" a="1"/>
  <c r="AH6" i="3"/>
  <c r="S8" i="3"/>
  <c r="R8" i="3"/>
  <c r="AH13" i="3"/>
  <c r="AH26" i="3"/>
  <c r="R15" i="3"/>
  <c r="AH11" i="3"/>
  <c r="AF25" i="3" a="1"/>
  <c r="AH21" i="3"/>
  <c r="R20" i="3"/>
  <c r="R19" i="3"/>
  <c r="AF19" i="3" s="1" a="1"/>
  <c r="AH17" i="3"/>
  <c r="AH15" i="3"/>
  <c r="R13" i="3"/>
  <c r="AF13" i="3" s="1" a="1"/>
  <c r="S11" i="3"/>
  <c r="AF24" i="3" a="1"/>
  <c r="AF24" i="3" s="1"/>
  <c r="S21" i="3"/>
  <c r="S20" i="3"/>
  <c r="AH19" i="3"/>
  <c r="S19" i="3"/>
  <c r="AG19" i="3" s="1" a="1"/>
  <c r="AG19" i="3" s="1"/>
  <c r="AH18" i="3"/>
  <c r="S15" i="3"/>
  <c r="AH14" i="3"/>
  <c r="S13" i="3"/>
  <c r="AG13" i="3" s="1" a="1"/>
  <c r="AG13" i="3" s="1"/>
  <c r="R12" i="3"/>
  <c r="AF12" i="3" s="1" a="1"/>
  <c r="R11" i="3"/>
  <c r="AH9" i="3"/>
  <c r="R9" i="3"/>
  <c r="S14" i="3"/>
  <c r="R14" i="3"/>
  <c r="S9" i="3"/>
  <c r="AH7" i="3"/>
  <c r="AG27" i="3" a="1"/>
  <c r="AG27" i="3" s="1"/>
  <c r="R23" i="3"/>
  <c r="AF23" i="3" s="1" a="1"/>
  <c r="AF23" i="3" s="1"/>
  <c r="AG26" i="3" a="1"/>
  <c r="AG26" i="3" s="1"/>
  <c r="S23" i="3"/>
  <c r="AG23" i="3" s="1" a="1"/>
  <c r="AG23" i="3" s="1"/>
  <c r="S24" i="3"/>
  <c r="AG24" i="3" s="1" a="1"/>
  <c r="AG24" i="3" s="1"/>
  <c r="R18" i="3"/>
  <c r="AF18" i="3" s="1" a="1"/>
  <c r="AF18" i="3" s="1"/>
  <c r="S18" i="3"/>
  <c r="AG18" i="3" s="1" a="1"/>
  <c r="AG18" i="3" s="1"/>
  <c r="R5" i="3"/>
  <c r="AF5" i="3" s="1" a="1"/>
  <c r="AF5" i="3" s="1"/>
  <c r="R21" i="3"/>
  <c r="AF21" i="3" s="1" a="1"/>
  <c r="AF21" i="3" s="1"/>
  <c r="AH12" i="3"/>
  <c r="S12" i="3"/>
  <c r="AG12" i="3" s="1" a="1"/>
  <c r="AG12" i="3" s="1"/>
  <c r="AH8" i="3"/>
  <c r="S5" i="3"/>
  <c r="AG5" i="3" s="1" a="1"/>
  <c r="AG5" i="3" s="1"/>
  <c r="AG9" i="3" a="1"/>
  <c r="AG9" i="3" s="1"/>
  <c r="AH20" i="3"/>
  <c r="S17" i="3"/>
  <c r="AG17" i="3" s="1" a="1"/>
  <c r="AG17" i="3" s="1"/>
  <c r="R17" i="3"/>
  <c r="AF17" i="3" s="1" a="1"/>
  <c r="AF17" i="3" s="1"/>
  <c r="S6" i="3"/>
  <c r="AG6" i="3" s="1" a="1"/>
  <c r="AG6" i="3" s="1"/>
  <c r="AF7" i="3" l="1" a="1"/>
  <c r="AF7" i="3" s="1"/>
  <c r="AF6" i="3" a="1"/>
  <c r="AF6" i="3" s="1"/>
  <c r="AF27" i="3" a="1"/>
  <c r="AF27" i="3" s="1"/>
  <c r="AG7" i="3"/>
  <c r="AF26" i="3" a="1"/>
  <c r="AF26" i="3" s="1"/>
  <c r="AG25" i="3"/>
  <c r="AF25" i="3"/>
  <c r="AG21" i="3" a="1"/>
  <c r="AG21" i="3" s="1"/>
  <c r="AG20" i="3" a="1"/>
  <c r="AG20" i="3" s="1"/>
  <c r="AF20" i="3" a="1"/>
  <c r="AF20" i="3" s="1"/>
  <c r="AF19" i="3"/>
  <c r="AG15" i="3" a="1"/>
  <c r="AG15" i="3" s="1"/>
  <c r="AF15" i="3" a="1"/>
  <c r="AF15" i="3" s="1"/>
  <c r="AG14" i="3" a="1"/>
  <c r="AG14" i="3" s="1"/>
  <c r="AF14" i="3" a="1"/>
  <c r="AF14" i="3" s="1"/>
  <c r="AF12" i="3"/>
  <c r="AF13" i="3"/>
  <c r="AG11" i="3" a="1"/>
  <c r="AG11" i="3" s="1"/>
  <c r="AF11" i="3" a="1"/>
  <c r="AF11" i="3" s="1"/>
  <c r="AF9" i="3" a="1"/>
  <c r="AF9" i="3" s="1"/>
  <c r="AG8" i="3" a="1"/>
  <c r="AG8" i="3" s="1"/>
  <c r="AF8" i="3" a="1"/>
  <c r="AF8" i="3" s="1"/>
</calcChain>
</file>

<file path=xl/sharedStrings.xml><?xml version="1.0" encoding="utf-8"?>
<sst xmlns="http://schemas.openxmlformats.org/spreadsheetml/2006/main" count="115" uniqueCount="73">
  <si>
    <t>Este documento foi exportado do Numbers. Cada tabela foi convertida em uma folha do Excel. Todos os outros objetos em cada folha do Numbers foram colocados em folhas à parte. Esteja ciente de que os cálculos de fórmulas podem ser diferentes no Excel.</t>
  </si>
  <si>
    <t>Nome da Folha do Numbers</t>
  </si>
  <si>
    <t>Nome da Tabela do Numbers</t>
  </si>
  <si>
    <t>Nome da Planilha do Excel</t>
  </si>
  <si>
    <t>como preencher</t>
  </si>
  <si>
    <t>“Todos os Desenhos da Folha”</t>
  </si>
  <si>
    <t>cargas</t>
  </si>
  <si>
    <t>Planilha para acompanhamento de cargas</t>
  </si>
  <si>
    <t>cargas - Planilha para acompanh</t>
  </si>
  <si>
    <t>feedback</t>
  </si>
  <si>
    <t>Feedback do período</t>
  </si>
  <si>
    <t>feedback - Feedback do período</t>
  </si>
  <si>
    <t>Comentários</t>
  </si>
  <si>
    <t>feedback - Comentários</t>
  </si>
  <si>
    <t xml:space="preserve">PREENCHA APENAS AS SÉRIES DE COR 🟠🔴 </t>
  </si>
  <si>
    <t xml:space="preserve">Evolução semanal </t>
  </si>
  <si>
    <t xml:space="preserve">Exercício </t>
  </si>
  <si>
    <t xml:space="preserve">Nº de séries </t>
  </si>
  <si>
    <t>Série 1</t>
  </si>
  <si>
    <t>Série 2</t>
  </si>
  <si>
    <t>Série 3</t>
  </si>
  <si>
    <t>Série 4</t>
  </si>
  <si>
    <t>Série 5</t>
  </si>
  <si>
    <t>Série 6</t>
  </si>
  <si>
    <t>Série 7</t>
  </si>
  <si>
    <t>Carga total</t>
  </si>
  <si>
    <t xml:space="preserve">Media de repetições </t>
  </si>
  <si>
    <t>Semana 1</t>
  </si>
  <si>
    <t>Semana 2</t>
  </si>
  <si>
    <t>Semana 3</t>
  </si>
  <si>
    <t>Semana 4</t>
  </si>
  <si>
    <t>Semana 5</t>
  </si>
  <si>
    <t>Semana 6</t>
  </si>
  <si>
    <t xml:space="preserve">Progressão geral </t>
  </si>
  <si>
    <t xml:space="preserve">Maior valor </t>
  </si>
  <si>
    <t>🟠</t>
  </si>
  <si>
    <t>🔴</t>
  </si>
  <si>
    <t>Kg</t>
  </si>
  <si>
    <t>Reps</t>
  </si>
  <si>
    <t xml:space="preserve">Carga total </t>
  </si>
  <si>
    <t>Progressão de carga</t>
  </si>
  <si>
    <t xml:space="preserve">Variação de reps </t>
  </si>
  <si>
    <t>CADEIRA ABDUTORA</t>
  </si>
  <si>
    <t>ELEVAÇÃO PELVICA</t>
  </si>
  <si>
    <t>LEG PRESS</t>
  </si>
  <si>
    <t>CADEIRA EXTENSORA</t>
  </si>
  <si>
    <t>CADEIRA FLEXORA</t>
  </si>
  <si>
    <t>ELEVAÇÃO LATERAL C/H</t>
  </si>
  <si>
    <t>SUPINO RETO MÁQUINA</t>
  </si>
  <si>
    <t>PUXADA PRONADA POLIA</t>
  </si>
  <si>
    <t>REMADA SERROTE</t>
  </si>
  <si>
    <t>ROSCA DIRETA POLIA</t>
  </si>
  <si>
    <t xml:space="preserve">RDL </t>
  </si>
  <si>
    <t>MESA FLEXORA</t>
  </si>
  <si>
    <t>DESENVOLVIMENTO C/H</t>
  </si>
  <si>
    <t>PUXADA NEUTRA POLIA</t>
  </si>
  <si>
    <t>REMADA PRONADA MÁQUINA</t>
  </si>
  <si>
    <t>TRICEPS POLIA</t>
  </si>
  <si>
    <r>
      <rPr>
        <b/>
        <sz val="10"/>
        <color rgb="FFFEFFFE"/>
        <rFont val="Helvetica Neue"/>
      </rPr>
      <t xml:space="preserve">Semana 6 </t>
    </r>
    <r>
      <rPr>
        <b/>
        <sz val="10"/>
        <color rgb="FFFDAD00"/>
        <rFont val="Helvetica Neue"/>
      </rPr>
      <t>FOTOS</t>
    </r>
  </si>
  <si>
    <t>Como foi sua assiduidade ao treino?</t>
  </si>
  <si>
    <t xml:space="preserve">Como foi seu desempenho nos treinos? </t>
  </si>
  <si>
    <t xml:space="preserve">Como foi sua recuperação ao longo da semana? </t>
  </si>
  <si>
    <t>Tem algum exercício que não goste? (Se sim, descreva nos comentários)</t>
  </si>
  <si>
    <t>Tem algum exercício que esteja com dificuldade de execução? (Se sim, descreva nos comentários)</t>
  </si>
  <si>
    <t>Tem algum exercício que gostaria de ter no próximo bloco? Pode ser um que já faz ou não. (Se sim, descreva nos comentários)</t>
  </si>
  <si>
    <t>Como está o tempo de duração dos treinos? (Se tiver mais tempo ou estiver longo demais, descreva quanto nos comentários)</t>
  </si>
  <si>
    <t xml:space="preserve">Você enviou vídeos do treino? </t>
  </si>
  <si>
    <t xml:space="preserve">Você manteve contato quando teve dúvidas? </t>
  </si>
  <si>
    <t xml:space="preserve">Você está sentindo alguma dor ou desconforto? </t>
  </si>
  <si>
    <t>Como foi seu sono?</t>
  </si>
  <si>
    <t xml:space="preserve">Como foi a dieta? </t>
  </si>
  <si>
    <t xml:space="preserve">Você está satisfeito(a) com a progressão da semana? </t>
  </si>
  <si>
    <t>Semana 6 (ENVIAR FOTOS)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</si>
</sst>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9">
    <font>
      <sz val="10"/>
      <color rgb="FF000000"/>
      <name val="Helvetica Neue"/>
      <scheme val="minor"/>
    </font>
    <font>
      <sz val="12"/>
      <color rgb="FF000000"/>
      <name val="Helvetica Neue"/>
    </font>
    <font>
      <sz val="14"/>
      <color rgb="FF000000"/>
      <name val="Helvetica Neue"/>
    </font>
    <font>
      <u/>
      <sz val="12"/>
      <color rgb="FF0000FF"/>
      <name val="Helvetica Neue"/>
    </font>
    <font>
      <b/>
      <sz val="12"/>
      <color rgb="FF000000"/>
      <name val="Helvetica Neue"/>
    </font>
    <font>
      <b/>
      <sz val="15"/>
      <color rgb="FF000000"/>
      <name val="Helvetica Neue"/>
    </font>
    <font>
      <sz val="10"/>
      <name val="Helvetica Neue"/>
    </font>
    <font>
      <b/>
      <sz val="10"/>
      <color rgb="FFFEFFFE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b/>
      <sz val="7"/>
      <color rgb="FF000000"/>
      <name val="Helvetica Neue"/>
    </font>
    <font>
      <b/>
      <sz val="7"/>
      <color rgb="FFFEFFFE"/>
      <name val="Helvetica Neue"/>
    </font>
    <font>
      <b/>
      <sz val="6"/>
      <color rgb="FF000000"/>
      <name val="Helvetica Neue"/>
    </font>
    <font>
      <sz val="10"/>
      <color theme="1"/>
      <name val="Helvetica Neue"/>
    </font>
    <font>
      <sz val="10"/>
      <color rgb="FF000000"/>
      <name val="Helvetica Neue"/>
    </font>
    <font>
      <b/>
      <sz val="8"/>
      <color rgb="FF000000"/>
      <name val="Helvetica Neue"/>
    </font>
    <font>
      <sz val="8"/>
      <color theme="1"/>
      <name val="Helvetica Neue"/>
    </font>
    <font>
      <sz val="9"/>
      <color rgb="FF000000"/>
      <name val="Helvetica Neue"/>
    </font>
    <font>
      <b/>
      <sz val="10"/>
      <color rgb="FFFDAD00"/>
      <name val="Helvetica Neue"/>
    </font>
  </fonts>
  <fills count="13">
    <fill>
      <patternFill patternType="none"/>
    </fill>
    <fill>
      <patternFill patternType="gray125"/>
    </fill>
    <fill>
      <patternFill patternType="solid">
        <fgColor rgb="FF5E88B1"/>
        <bgColor rgb="FF5E88B1"/>
      </patternFill>
    </fill>
    <fill>
      <patternFill patternType="solid">
        <fgColor rgb="FFEEF3F4"/>
        <bgColor rgb="FFEEF3F4"/>
      </patternFill>
    </fill>
    <fill>
      <patternFill patternType="solid">
        <fgColor rgb="FFFFD977"/>
        <bgColor rgb="FFFFD977"/>
      </patternFill>
    </fill>
    <fill>
      <patternFill patternType="solid">
        <fgColor rgb="FF000000"/>
        <bgColor rgb="FF000000"/>
      </patternFill>
    </fill>
    <fill>
      <patternFill patternType="solid">
        <fgColor rgb="FFF9DB85"/>
        <bgColor rgb="FFF9DB85"/>
      </patternFill>
    </fill>
    <fill>
      <patternFill patternType="solid">
        <fgColor rgb="FFBDC0BF"/>
        <bgColor rgb="FFBDC0BF"/>
      </patternFill>
    </fill>
    <fill>
      <patternFill patternType="solid">
        <fgColor rgb="FFFEFFFE"/>
        <bgColor rgb="FFFEFFFE"/>
      </patternFill>
    </fill>
    <fill>
      <patternFill patternType="solid">
        <fgColor rgb="FFD5D5D5"/>
        <bgColor rgb="FFD5D5D5"/>
      </patternFill>
    </fill>
    <fill>
      <patternFill patternType="solid">
        <fgColor rgb="FFAFE489"/>
        <bgColor rgb="FFAFE489"/>
      </patternFill>
    </fill>
    <fill>
      <patternFill patternType="solid">
        <fgColor rgb="FFF9DB86"/>
        <bgColor rgb="FFF9DB86"/>
      </patternFill>
    </fill>
    <fill>
      <patternFill patternType="solid">
        <fgColor rgb="FFF9DA85"/>
        <bgColor rgb="FFF9DA85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3F3F3F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/>
      <top style="thin">
        <color rgb="FFA5A5A5"/>
      </top>
      <bottom style="thin">
        <color rgb="FFA5A5A5"/>
      </bottom>
      <diagonal/>
    </border>
    <border>
      <left style="thin">
        <color rgb="FFC8C8C8"/>
      </left>
      <right/>
      <top style="thin">
        <color rgb="FFC8C8C8"/>
      </top>
      <bottom style="thin">
        <color rgb="FF89847F"/>
      </bottom>
      <diagonal/>
    </border>
    <border>
      <left/>
      <right/>
      <top style="thin">
        <color rgb="FFC8C8C8"/>
      </top>
      <bottom style="thin">
        <color rgb="FF89847F"/>
      </bottom>
      <diagonal/>
    </border>
    <border>
      <left/>
      <right style="thin">
        <color rgb="FFC8C8C8"/>
      </right>
      <top style="thin">
        <color rgb="FFC8C8C8"/>
      </top>
      <bottom style="thin">
        <color rgb="FF89847F"/>
      </bottom>
      <diagonal/>
    </border>
    <border>
      <left style="thin">
        <color rgb="FFC8C8C8"/>
      </left>
      <right style="thin">
        <color rgb="FFC8C8C8"/>
      </right>
      <top style="thin">
        <color rgb="FF89847F"/>
      </top>
      <bottom/>
      <diagonal/>
    </border>
    <border>
      <left style="thin">
        <color rgb="FFC8C8C8"/>
      </left>
      <right/>
      <top style="thin">
        <color rgb="FF89847F"/>
      </top>
      <bottom/>
      <diagonal/>
    </border>
    <border>
      <left/>
      <right/>
      <top style="thin">
        <color rgb="FF89847F"/>
      </top>
      <bottom/>
      <diagonal/>
    </border>
    <border>
      <left/>
      <right style="thin">
        <color rgb="FFC8C8C8"/>
      </right>
      <top style="thin">
        <color rgb="FF89847F"/>
      </top>
      <bottom/>
      <diagonal/>
    </border>
    <border>
      <left style="thin">
        <color rgb="FFC8C8C8"/>
      </left>
      <right style="thin">
        <color rgb="FFC8C8C8"/>
      </right>
      <top/>
      <bottom/>
      <diagonal/>
    </border>
    <border>
      <left style="thin">
        <color rgb="FFC8C8C8"/>
      </left>
      <right/>
      <top/>
      <bottom/>
      <diagonal/>
    </border>
    <border>
      <left/>
      <right style="thin">
        <color rgb="FFC8C8C8"/>
      </right>
      <top/>
      <bottom/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  <border>
      <left style="thin">
        <color rgb="FFC8C8C8"/>
      </left>
      <right/>
      <top/>
      <bottom style="thin">
        <color rgb="FFC8C8C8"/>
      </bottom>
      <diagonal/>
    </border>
    <border>
      <left/>
      <right/>
      <top/>
      <bottom style="thin">
        <color rgb="FFC8C8C8"/>
      </bottom>
      <diagonal/>
    </border>
    <border>
      <left/>
      <right style="thin">
        <color rgb="FFC8C8C8"/>
      </right>
      <top/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/>
      <top style="thin">
        <color rgb="FFC8C8C8"/>
      </top>
      <bottom/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</borders>
  <cellStyleXfs count="1">
    <xf numFmtId="0" fontId="0" fillId="0" borderId="0"/>
  </cellStyleXfs>
  <cellXfs count="85"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vertical="top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10" fillId="4" borderId="8" xfId="0" applyNumberFormat="1" applyFont="1" applyFill="1" applyBorder="1" applyAlignment="1">
      <alignment horizontal="center" vertical="center" wrapText="1"/>
    </xf>
    <xf numFmtId="49" fontId="11" fillId="5" borderId="8" xfId="0" applyNumberFormat="1" applyFont="1" applyFill="1" applyBorder="1" applyAlignment="1">
      <alignment horizontal="center" vertical="center" wrapText="1"/>
    </xf>
    <xf numFmtId="49" fontId="12" fillId="4" borderId="8" xfId="0" applyNumberFormat="1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vertical="top" wrapText="1"/>
    </xf>
    <xf numFmtId="49" fontId="8" fillId="8" borderId="9" xfId="0" applyNumberFormat="1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right" vertical="top" wrapText="1"/>
    </xf>
    <xf numFmtId="0" fontId="14" fillId="0" borderId="11" xfId="0" applyFont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2" fontId="14" fillId="9" borderId="11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top" wrapText="1"/>
    </xf>
    <xf numFmtId="2" fontId="13" fillId="0" borderId="11" xfId="0" applyNumberFormat="1" applyFont="1" applyBorder="1" applyAlignment="1">
      <alignment horizontal="center" vertical="top" wrapText="1"/>
    </xf>
    <xf numFmtId="0" fontId="13" fillId="10" borderId="11" xfId="0" applyFont="1" applyFill="1" applyBorder="1" applyAlignment="1">
      <alignment horizontal="center" vertical="top" wrapText="1"/>
    </xf>
    <xf numFmtId="2" fontId="14" fillId="0" borderId="11" xfId="0" applyNumberFormat="1" applyFont="1" applyBorder="1" applyAlignment="1">
      <alignment horizontal="center" vertical="center" wrapText="1"/>
    </xf>
    <xf numFmtId="164" fontId="14" fillId="4" borderId="11" xfId="0" applyNumberFormat="1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vertical="top" wrapText="1"/>
    </xf>
    <xf numFmtId="49" fontId="8" fillId="8" borderId="12" xfId="0" applyNumberFormat="1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top" wrapText="1"/>
    </xf>
    <xf numFmtId="0" fontId="13" fillId="0" borderId="5" xfId="0" applyFont="1" applyBorder="1" applyAlignment="1">
      <alignment horizontal="center" vertical="top" wrapText="1"/>
    </xf>
    <xf numFmtId="0" fontId="14" fillId="0" borderId="5" xfId="0" applyFont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2" fontId="14" fillId="9" borderId="5" xfId="0" applyNumberFormat="1" applyFont="1" applyFill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top" wrapText="1"/>
    </xf>
    <xf numFmtId="2" fontId="14" fillId="0" borderId="5" xfId="0" applyNumberFormat="1" applyFont="1" applyBorder="1" applyAlignment="1">
      <alignment horizontal="center" vertical="center" wrapText="1"/>
    </xf>
    <xf numFmtId="164" fontId="14" fillId="4" borderId="5" xfId="0" applyNumberFormat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top" wrapText="1"/>
    </xf>
    <xf numFmtId="0" fontId="8" fillId="4" borderId="12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top" wrapText="1"/>
    </xf>
    <xf numFmtId="164" fontId="14" fillId="12" borderId="5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7" fillId="5" borderId="8" xfId="0" applyFont="1" applyFill="1" applyBorder="1" applyAlignment="1">
      <alignment horizontal="center" vertical="center"/>
    </xf>
    <xf numFmtId="49" fontId="7" fillId="5" borderId="8" xfId="0" applyNumberFormat="1" applyFont="1" applyFill="1" applyBorder="1" applyAlignment="1">
      <alignment horizontal="center" vertical="center"/>
    </xf>
    <xf numFmtId="49" fontId="8" fillId="4" borderId="9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top" wrapText="1"/>
    </xf>
    <xf numFmtId="49" fontId="8" fillId="4" borderId="12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49" fontId="10" fillId="4" borderId="12" xfId="0" applyNumberFormat="1" applyFont="1" applyFill="1" applyBorder="1" applyAlignment="1">
      <alignment horizontal="center" vertical="center" wrapText="1"/>
    </xf>
    <xf numFmtId="49" fontId="12" fillId="4" borderId="12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49" fontId="8" fillId="6" borderId="2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14" fillId="11" borderId="1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top" wrapText="1"/>
    </xf>
    <xf numFmtId="0" fontId="4" fillId="0" borderId="0" xfId="0" applyFont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wrapText="1"/>
    </xf>
    <xf numFmtId="49" fontId="7" fillId="5" borderId="2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wrapText="1"/>
    </xf>
    <xf numFmtId="0" fontId="6" fillId="0" borderId="7" xfId="0" applyFont="1" applyBorder="1" applyAlignment="1">
      <alignment vertical="top" wrapText="1"/>
    </xf>
    <xf numFmtId="49" fontId="8" fillId="4" borderId="2" xfId="0" applyNumberFormat="1" applyFont="1" applyFill="1" applyBorder="1" applyAlignment="1">
      <alignment horizontal="center" vertical="center" wrapText="1"/>
    </xf>
    <xf numFmtId="49" fontId="9" fillId="4" borderId="6" xfId="0" applyNumberFormat="1" applyFont="1" applyFill="1" applyBorder="1" applyAlignment="1">
      <alignment horizontal="center" vertical="center" wrapText="1"/>
    </xf>
    <xf numFmtId="49" fontId="8" fillId="4" borderId="29" xfId="0" applyNumberFormat="1" applyFont="1" applyFill="1" applyBorder="1" applyAlignment="1">
      <alignment horizontal="center" vertical="center" wrapText="1"/>
    </xf>
    <xf numFmtId="0" fontId="6" fillId="0" borderId="22" xfId="0" applyFont="1" applyBorder="1" applyAlignment="1">
      <alignment vertical="top" wrapText="1"/>
    </xf>
    <xf numFmtId="0" fontId="6" fillId="0" borderId="25" xfId="0" applyFont="1" applyBorder="1" applyAlignment="1">
      <alignment vertical="top" wrapText="1"/>
    </xf>
    <xf numFmtId="0" fontId="16" fillId="0" borderId="30" xfId="0" applyFont="1" applyBorder="1" applyAlignment="1">
      <alignment vertical="top" wrapText="1"/>
    </xf>
    <xf numFmtId="0" fontId="6" fillId="0" borderId="31" xfId="0" applyFont="1" applyBorder="1" applyAlignment="1">
      <alignment vertical="top" wrapText="1"/>
    </xf>
    <xf numFmtId="0" fontId="6" fillId="0" borderId="32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6" fillId="0" borderId="26" xfId="0" applyFont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0" fontId="6" fillId="0" borderId="28" xfId="0" applyFont="1" applyBorder="1" applyAlignment="1">
      <alignment vertical="top" wrapText="1"/>
    </xf>
    <xf numFmtId="0" fontId="17" fillId="0" borderId="30" xfId="0" applyFont="1" applyBorder="1" applyAlignment="1">
      <alignment vertical="top" wrapText="1"/>
    </xf>
    <xf numFmtId="0" fontId="14" fillId="0" borderId="30" xfId="0" applyFont="1" applyBorder="1" applyAlignment="1">
      <alignment vertical="top" wrapText="1"/>
    </xf>
    <xf numFmtId="0" fontId="8" fillId="5" borderId="15" xfId="0" applyFont="1" applyFill="1" applyBorder="1" applyAlignment="1">
      <alignment vertical="top"/>
    </xf>
    <xf numFmtId="0" fontId="6" fillId="0" borderId="16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49" fontId="8" fillId="4" borderId="18" xfId="0" applyNumberFormat="1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21" xfId="0" applyFont="1" applyBorder="1" applyAlignment="1">
      <alignment vertical="top" wrapText="1"/>
    </xf>
  </cellXfs>
  <cellStyles count="1">
    <cellStyle name="Normal" xfId="0" builtinId="0"/>
  </cellStyles>
  <dxfs count="20">
    <dxf>
      <font>
        <color rgb="FF000000"/>
      </font>
      <fill>
        <patternFill patternType="solid">
          <fgColor rgb="FFFF9781"/>
          <bgColor rgb="FFFF9781"/>
        </patternFill>
      </fill>
    </dxf>
    <dxf>
      <font>
        <color rgb="FF000000"/>
      </font>
      <fill>
        <patternFill patternType="solid">
          <fgColor rgb="FFAFE489"/>
          <bgColor rgb="FFAFE489"/>
        </patternFill>
      </fill>
    </dxf>
    <dxf>
      <font>
        <color rgb="FF000000"/>
      </font>
      <fill>
        <patternFill patternType="solid">
          <fgColor rgb="FFFF9781"/>
          <bgColor rgb="FFFF9781"/>
        </patternFill>
      </fill>
    </dxf>
    <dxf>
      <font>
        <color rgb="FF000000"/>
      </font>
      <fill>
        <patternFill patternType="solid">
          <fgColor rgb="FFFFFC98"/>
          <bgColor rgb="FFFFFC98"/>
        </patternFill>
      </fill>
    </dxf>
    <dxf>
      <font>
        <color rgb="FF000000"/>
      </font>
      <fill>
        <patternFill patternType="solid">
          <fgColor rgb="FFAFE489"/>
          <bgColor rgb="FFAFE489"/>
        </patternFill>
      </fill>
    </dxf>
    <dxf>
      <font>
        <color rgb="FF000000"/>
      </font>
      <fill>
        <patternFill patternType="solid">
          <fgColor rgb="FFAFE489"/>
          <bgColor rgb="FFAFE489"/>
        </patternFill>
      </fill>
    </dxf>
    <dxf>
      <font>
        <color rgb="FF000000"/>
      </font>
      <fill>
        <patternFill patternType="solid">
          <fgColor rgb="FFFF9781"/>
          <bgColor rgb="FFFF9781"/>
        </patternFill>
      </fill>
    </dxf>
    <dxf>
      <font>
        <color rgb="FF000000"/>
      </font>
      <fill>
        <patternFill patternType="solid">
          <fgColor rgb="FFFF9781"/>
          <bgColor rgb="FFFF9781"/>
        </patternFill>
      </fill>
    </dxf>
    <dxf>
      <font>
        <color rgb="FF000000"/>
      </font>
      <fill>
        <patternFill patternType="solid">
          <fgColor rgb="FFFFFC98"/>
          <bgColor rgb="FFFFFC98"/>
        </patternFill>
      </fill>
    </dxf>
    <dxf>
      <font>
        <color rgb="FF000000"/>
      </font>
      <fill>
        <patternFill patternType="solid">
          <fgColor rgb="FFAFE489"/>
          <bgColor rgb="FFAFE489"/>
        </patternFill>
      </fill>
    </dxf>
    <dxf>
      <font>
        <color rgb="FF000000"/>
      </font>
      <fill>
        <patternFill patternType="solid">
          <fgColor rgb="FFFF9781"/>
          <bgColor rgb="FFFF9781"/>
        </patternFill>
      </fill>
    </dxf>
    <dxf>
      <font>
        <color rgb="FF000000"/>
      </font>
      <fill>
        <patternFill patternType="solid">
          <fgColor rgb="FFFFFC98"/>
          <bgColor rgb="FFFFFC98"/>
        </patternFill>
      </fill>
    </dxf>
    <dxf>
      <font>
        <color rgb="FF000000"/>
      </font>
      <fill>
        <patternFill patternType="solid">
          <fgColor rgb="FFAFE489"/>
          <bgColor rgb="FFAFE489"/>
        </patternFill>
      </fill>
    </dxf>
    <dxf>
      <font>
        <color rgb="FF000000"/>
      </font>
      <fill>
        <patternFill patternType="solid">
          <fgColor rgb="FFAFE489"/>
          <bgColor rgb="FFAFE489"/>
        </patternFill>
      </fill>
    </dxf>
    <dxf>
      <font>
        <color rgb="FF000000"/>
      </font>
      <fill>
        <patternFill patternType="solid">
          <fgColor rgb="FFAFE489"/>
          <bgColor rgb="FFAFE489"/>
        </patternFill>
      </fill>
    </dxf>
    <dxf>
      <font>
        <color rgb="FF000000"/>
      </font>
      <fill>
        <patternFill patternType="solid">
          <fgColor rgb="FFAFE489"/>
          <bgColor rgb="FFAFE489"/>
        </patternFill>
      </fill>
    </dxf>
    <dxf>
      <font>
        <color rgb="FF000000"/>
      </font>
      <fill>
        <patternFill patternType="solid">
          <fgColor rgb="FFAFE489"/>
          <bgColor rgb="FFAFE489"/>
        </patternFill>
      </fill>
    </dxf>
    <dxf>
      <font>
        <color rgb="FF000000"/>
      </font>
      <fill>
        <patternFill patternType="solid">
          <fgColor rgb="FFAFE489"/>
          <bgColor rgb="FFAFE489"/>
        </patternFill>
      </fill>
    </dxf>
    <dxf>
      <font>
        <color rgb="FF000000"/>
      </font>
      <fill>
        <patternFill patternType="solid">
          <fgColor rgb="FFAFE489"/>
          <bgColor rgb="FFAFE489"/>
        </patternFill>
      </fill>
    </dxf>
    <dxf>
      <font>
        <color rgb="FF000000"/>
      </font>
      <fill>
        <patternFill patternType="solid">
          <fgColor rgb="FFAFE489"/>
          <bgColor rgb="FFAFE48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0</xdr:row>
      <xdr:rowOff>-19050</xdr:rowOff>
    </xdr:from>
    <xdr:ext cx="8553450" cy="8658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93088" y="0"/>
          <a:ext cx="8505825" cy="7560000"/>
        </a:xfrm>
        <a:prstGeom prst="rect">
          <a:avLst/>
        </a:prstGeom>
        <a:solidFill>
          <a:schemeClr val="accent4"/>
        </a:solidFill>
        <a:ln w="50800" cap="flat" cmpd="sng">
          <a:solidFill>
            <a:srgbClr val="000000"/>
          </a:solidFill>
          <a:prstDash val="solid"/>
          <a:miter lim="4000"/>
          <a:headEnd type="none" w="sm" len="sm"/>
          <a:tailEnd type="none" w="sm" len="sm"/>
        </a:ln>
      </xdr:spPr>
      <xdr:txBody>
        <a:bodyPr spcFirstLastPara="1" wrap="square" lIns="50800" tIns="50800" rIns="50800" bIns="508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3700"/>
            <a:buFont typeface="Helvetica Neue"/>
            <a:buNone/>
          </a:pPr>
          <a:r>
            <a:rPr lang="en-US" sz="3700" b="1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Como preencher a planilha de cargas: </a:t>
          </a:r>
          <a:endParaRPr sz="3700" b="1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228600" marR="0" lvl="0" indent="-22860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AutoNum type="arabicParenR"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Registre apenas as séries de cor laranja e vermelha.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228600" marR="0" lvl="0" indent="-22860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AutoNum type="arabicParenR"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Logo após uma série, registre o peso utilizado e o número de repetições feitas.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228600" marR="0" lvl="0" indent="-22860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AutoNum type="arabicParenR"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Repita esse processo de acordo com o número de séries prescritas em cada exercício.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228600" marR="0" lvl="0" indent="-22860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AutoNum type="arabicParenR"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Ao final do treino, você terá um valor de “carga total” e “média de repetições”.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228600" marR="0" lvl="0" indent="-22860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AutoNum type="arabicParenR"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Copie esse valor nas colunas pretas, à direta, logo abaixo da área da “semana 1”.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228600" marR="0" lvl="0" indent="-22860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AutoNum type="arabicParenR"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Repita esse processo para cada treino, até completar a semana. 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228600" marR="0" lvl="0" indent="-22860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AutoNum type="arabicParenR"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Na semana seguinte, quando for repetir o primeiro treino, edite os valores prévios de acordo com o que fizer. Lembre que sua meta agora é superar o que fez na semana anterior, seja realizando mais repetições com o mesmo peso ou aumentando o peso para realizar o mesmo número de repetições. 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228600" marR="0" lvl="0" indent="-22860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AutoNum type="arabicParenR"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Ao final do treino, você terá um novo valor de “carga total” e “média de repetições”.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228600" marR="0" lvl="0" indent="-22860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AutoNum type="arabicParenR"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Copie esse valor nas colunas pretas, à direta, mas agora abaixo da área da “semana 2”.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228600" marR="0" lvl="0" indent="-22860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AutoNum type="arabicParenR"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Repita esse processo até finalizar o treino. 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Helvetica Neue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Helvetica Neue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638175</xdr:colOff>
      <xdr:row>51</xdr:row>
      <xdr:rowOff>95250</xdr:rowOff>
    </xdr:from>
    <xdr:ext cx="8553450" cy="33337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093088" y="2141700"/>
          <a:ext cx="8505825" cy="3276600"/>
        </a:xfrm>
        <a:prstGeom prst="rect">
          <a:avLst/>
        </a:prstGeom>
        <a:solidFill>
          <a:schemeClr val="accent4"/>
        </a:solidFill>
        <a:ln w="50800" cap="flat" cmpd="sng">
          <a:solidFill>
            <a:srgbClr val="000000"/>
          </a:solidFill>
          <a:prstDash val="solid"/>
          <a:miter lim="4000"/>
          <a:headEnd type="none" w="sm" len="sm"/>
          <a:tailEnd type="none" w="sm" len="sm"/>
        </a:ln>
      </xdr:spPr>
      <xdr:txBody>
        <a:bodyPr spcFirstLastPara="1" wrap="square" lIns="50800" tIns="50800" rIns="50800" bIns="508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3700"/>
            <a:buFont typeface="Helvetica Neue"/>
            <a:buNone/>
          </a:pPr>
          <a:r>
            <a:rPr lang="en-US" sz="3700" b="1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Como preencher a planilha de feedbacks: </a:t>
          </a:r>
          <a:endParaRPr sz="3700" b="1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None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Semanalmente você deve registrar sua percepção em relação ao período.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None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Preencha cada célula usando as palavras descritas em cada linha, com a que achar que esta mais condizente com como você se sente! 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None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Abaixo dessa tabela, você tem uma área onde pode escrever comentários sobre a semana para dar mais detalhes de como se sentiu.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638175</xdr:colOff>
      <xdr:row>72</xdr:row>
      <xdr:rowOff>85725</xdr:rowOff>
    </xdr:from>
    <xdr:ext cx="8553450" cy="38766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093088" y="1865475"/>
          <a:ext cx="8505825" cy="3829050"/>
        </a:xfrm>
        <a:prstGeom prst="rect">
          <a:avLst/>
        </a:prstGeom>
        <a:solidFill>
          <a:schemeClr val="accent4"/>
        </a:solidFill>
        <a:ln w="50800" cap="flat" cmpd="sng">
          <a:solidFill>
            <a:srgbClr val="000000"/>
          </a:solidFill>
          <a:prstDash val="solid"/>
          <a:miter lim="4000"/>
          <a:headEnd type="none" w="sm" len="sm"/>
          <a:tailEnd type="none" w="sm" len="sm"/>
        </a:ln>
      </xdr:spPr>
      <xdr:txBody>
        <a:bodyPr spcFirstLastPara="1" wrap="square" lIns="50800" tIns="50800" rIns="50800" bIns="508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3700"/>
            <a:buFont typeface="Helvetica Neue"/>
            <a:buNone/>
          </a:pPr>
          <a:r>
            <a:rPr lang="en-US" sz="3700" b="1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Quando enviar as planilhas: </a:t>
          </a:r>
          <a:endParaRPr sz="3700" b="1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None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Ao final de cada semana ou a cada duas semanas você deve me encaminhar o arquivo em formato PDF para acompanhamento.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None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Ao finalizar a semana 5 (geralmente sexta ou sábado) ou ao iniciar a semana 6 (geralmente segunda) você deve me enviar o arquivo em formato PDF junto de fotos para revisão do bloco. 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None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Atrasos no envio resultarão em atraso na revisão e envio do programa atualizado.  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638175</xdr:colOff>
      <xdr:row>95</xdr:row>
      <xdr:rowOff>38100</xdr:rowOff>
    </xdr:from>
    <xdr:ext cx="8553450" cy="43148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093088" y="1646400"/>
          <a:ext cx="8505825" cy="4267200"/>
        </a:xfrm>
        <a:prstGeom prst="rect">
          <a:avLst/>
        </a:prstGeom>
        <a:solidFill>
          <a:schemeClr val="accent4"/>
        </a:solidFill>
        <a:ln w="50800" cap="flat" cmpd="sng">
          <a:solidFill>
            <a:srgbClr val="000000"/>
          </a:solidFill>
          <a:prstDash val="solid"/>
          <a:miter lim="4000"/>
          <a:headEnd type="none" w="sm" len="sm"/>
          <a:tailEnd type="none" w="sm" len="sm"/>
        </a:ln>
      </xdr:spPr>
      <xdr:txBody>
        <a:bodyPr spcFirstLastPara="1" wrap="square" lIns="50800" tIns="50800" rIns="50800" bIns="508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3700"/>
            <a:buFont typeface="Helvetica Neue"/>
            <a:buNone/>
          </a:pPr>
          <a:r>
            <a:rPr lang="en-US" sz="3700" b="1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Quando enviar as fotos: </a:t>
          </a:r>
          <a:endParaRPr sz="3700" b="1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None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Ao finalizar a semana 5 (geralmente sexta ou sábado) ou ao iniciar a semana 6 (geralmente segunda) você deve me enviar o arquivo em formato PDF junto de fotos para revisão do bloco. 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None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Tire as fotos sempre da mesma posição, distancia da câmera, altura e luz (padronize isso porque é importante e ajuda na avaliação).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None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Faça as fotos com uma parede lisa/branca de fundo. 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marR="0" lvl="0" indent="0" algn="l" rtl="0">
            <a:lnSpc>
              <a:spcPct val="13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Helvetica Neue"/>
            <a:buNone/>
          </a:pPr>
          <a:r>
            <a:rPr lang="en-US" sz="2000" b="0" i="0" u="none" strike="noStrike" cap="none">
              <a:solidFill>
                <a:srgbClr val="000000"/>
              </a:solidFill>
              <a:latin typeface="Helvetica Neue"/>
              <a:ea typeface="Helvetica Neue"/>
              <a:cs typeface="Helvetica Neue"/>
              <a:sym typeface="Helvetica Neue"/>
            </a:rPr>
            <a:t>Fotos de frente/costas/lados relaxado(a) e com os braços ao lado do corpo.  </a:t>
          </a:r>
          <a:endParaRPr sz="20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0"/>
  <sheetViews>
    <sheetView showGridLines="0" workbookViewId="0"/>
  </sheetViews>
  <sheetFormatPr defaultColWidth="14.42578125" defaultRowHeight="15" customHeight="1"/>
  <cols>
    <col min="1" max="1" width="2" customWidth="1"/>
    <col min="2" max="4" width="33.5703125" customWidth="1"/>
    <col min="5" max="26" width="10" customWidth="1"/>
  </cols>
  <sheetData>
    <row r="1" spans="2:4" ht="12.75" customHeight="1"/>
    <row r="2" spans="2:4" ht="12.75" customHeight="1"/>
    <row r="3" spans="2:4" ht="49.5" customHeight="1">
      <c r="B3" s="52" t="s">
        <v>0</v>
      </c>
      <c r="C3" s="53"/>
      <c r="D3" s="53"/>
    </row>
    <row r="4" spans="2:4" ht="12.75" customHeight="1"/>
    <row r="5" spans="2:4" ht="12.75" customHeight="1"/>
    <row r="6" spans="2:4" ht="12.75" customHeight="1"/>
    <row r="7" spans="2:4" ht="12.75" customHeight="1">
      <c r="B7" s="1" t="s">
        <v>1</v>
      </c>
      <c r="C7" s="1" t="s">
        <v>2</v>
      </c>
      <c r="D7" s="1" t="s">
        <v>3</v>
      </c>
    </row>
    <row r="8" spans="2:4" ht="12.75" customHeight="1"/>
    <row r="9" spans="2:4" ht="12.75" customHeight="1">
      <c r="B9" s="2" t="s">
        <v>4</v>
      </c>
      <c r="C9" s="2"/>
      <c r="D9" s="2"/>
    </row>
    <row r="10" spans="2:4" ht="12.75" customHeight="1">
      <c r="B10" s="3"/>
      <c r="C10" s="3" t="s">
        <v>5</v>
      </c>
      <c r="D10" s="4" t="s">
        <v>4</v>
      </c>
    </row>
    <row r="11" spans="2:4" ht="12.75" customHeight="1">
      <c r="B11" s="2" t="s">
        <v>6</v>
      </c>
      <c r="C11" s="2"/>
      <c r="D11" s="2"/>
    </row>
    <row r="12" spans="2:4" ht="12.75" customHeight="1">
      <c r="B12" s="3"/>
      <c r="C12" s="3" t="s">
        <v>7</v>
      </c>
      <c r="D12" s="4" t="s">
        <v>8</v>
      </c>
    </row>
    <row r="13" spans="2:4" ht="12.75" customHeight="1">
      <c r="B13" s="2" t="s">
        <v>9</v>
      </c>
      <c r="C13" s="2"/>
      <c r="D13" s="2"/>
    </row>
    <row r="14" spans="2:4" ht="12.75" customHeight="1">
      <c r="B14" s="3"/>
      <c r="C14" s="3" t="s">
        <v>10</v>
      </c>
      <c r="D14" s="4" t="s">
        <v>11</v>
      </c>
    </row>
    <row r="15" spans="2:4" ht="12.75" customHeight="1">
      <c r="B15" s="3"/>
      <c r="C15" s="3" t="s">
        <v>12</v>
      </c>
      <c r="D15" s="4" t="s">
        <v>13</v>
      </c>
    </row>
    <row r="16" spans="2:4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3:D3"/>
  </mergeCells>
  <hyperlinks>
    <hyperlink ref="D10" location="'como preencher'!R1C1" display="como preencher" xr:uid="{00000000-0004-0000-0000-000000000000}"/>
    <hyperlink ref="D12" location="'cargas - Planilha para acompanh'!R2C1" display="cargas - Planilha para acompanh" xr:uid="{00000000-0004-0000-0000-000001000000}"/>
    <hyperlink ref="D14" location="'feedback - Feedback do período'!R2C1" display="feedback - Feedback do período" xr:uid="{00000000-0004-0000-0000-000002000000}"/>
    <hyperlink ref="D15" location="'feedback - Comentários'!R2C1" display="feedback - Comentários" xr:uid="{00000000-0004-0000-0000-000003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showGridLines="0" workbookViewId="0"/>
  </sheetViews>
  <sheetFormatPr defaultColWidth="14.42578125" defaultRowHeight="15" customHeight="1"/>
  <cols>
    <col min="1" max="26" width="10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5" right="0.5" top="0.75" bottom="0.75" header="0" footer="0"/>
  <pageSetup scale="72"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1000"/>
  <sheetViews>
    <sheetView showGridLines="0" workbookViewId="0">
      <pane xSplit="1" topLeftCell="B1" activePane="topRight" state="frozen"/>
      <selection pane="topRight" activeCell="AJ4" sqref="AJ4"/>
    </sheetView>
  </sheetViews>
  <sheetFormatPr defaultColWidth="14.42578125" defaultRowHeight="15" customHeight="1"/>
  <cols>
    <col min="1" max="1" width="18.28515625" customWidth="1"/>
    <col min="2" max="4" width="8.28515625" customWidth="1"/>
    <col min="5" max="5" width="4.7109375" customWidth="1"/>
    <col min="6" max="6" width="8.28515625" customWidth="1"/>
    <col min="7" max="7" width="4.7109375" customWidth="1"/>
    <col min="8" max="8" width="8.28515625" customWidth="1"/>
    <col min="9" max="9" width="4.7109375" customWidth="1"/>
    <col min="10" max="10" width="8.28515625" customWidth="1"/>
    <col min="11" max="11" width="4.7109375" customWidth="1"/>
    <col min="12" max="12" width="8.28515625" customWidth="1"/>
    <col min="13" max="13" width="4.7109375" customWidth="1"/>
    <col min="14" max="14" width="8.28515625" customWidth="1"/>
    <col min="15" max="15" width="4.7109375" customWidth="1"/>
    <col min="16" max="16" width="8.28515625" customWidth="1"/>
    <col min="17" max="17" width="4.7109375" customWidth="1"/>
    <col min="18" max="19" width="10" customWidth="1"/>
    <col min="20" max="33" width="11.7109375" customWidth="1"/>
    <col min="34" max="34" width="16.28515625" hidden="1" customWidth="1"/>
  </cols>
  <sheetData>
    <row r="1" spans="1:34" ht="28.5" customHeight="1"/>
    <row r="2" spans="1:34" ht="30" customHeight="1">
      <c r="A2" s="59" t="s">
        <v>14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5"/>
      <c r="S2" s="5"/>
      <c r="T2" s="60" t="s">
        <v>15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5"/>
      <c r="AG2" s="6"/>
      <c r="AH2" s="6"/>
    </row>
    <row r="3" spans="1:34" ht="30" customHeight="1">
      <c r="A3" s="61" t="s">
        <v>16</v>
      </c>
      <c r="B3" s="63" t="s">
        <v>17</v>
      </c>
      <c r="C3" s="55"/>
      <c r="D3" s="63" t="s">
        <v>18</v>
      </c>
      <c r="E3" s="55"/>
      <c r="F3" s="63" t="s">
        <v>19</v>
      </c>
      <c r="G3" s="55"/>
      <c r="H3" s="63" t="s">
        <v>20</v>
      </c>
      <c r="I3" s="55"/>
      <c r="J3" s="63" t="s">
        <v>21</v>
      </c>
      <c r="K3" s="55"/>
      <c r="L3" s="63" t="s">
        <v>22</v>
      </c>
      <c r="M3" s="55"/>
      <c r="N3" s="63" t="s">
        <v>23</v>
      </c>
      <c r="O3" s="55"/>
      <c r="P3" s="63" t="s">
        <v>24</v>
      </c>
      <c r="Q3" s="55"/>
      <c r="R3" s="64" t="s">
        <v>25</v>
      </c>
      <c r="S3" s="64" t="s">
        <v>26</v>
      </c>
      <c r="T3" s="60" t="s">
        <v>27</v>
      </c>
      <c r="U3" s="55"/>
      <c r="V3" s="60" t="s">
        <v>28</v>
      </c>
      <c r="W3" s="55"/>
      <c r="X3" s="60" t="s">
        <v>29</v>
      </c>
      <c r="Y3" s="55"/>
      <c r="Z3" s="60" t="s">
        <v>30</v>
      </c>
      <c r="AA3" s="55"/>
      <c r="AB3" s="60" t="s">
        <v>31</v>
      </c>
      <c r="AC3" s="55"/>
      <c r="AD3" s="60" t="s">
        <v>32</v>
      </c>
      <c r="AE3" s="55"/>
      <c r="AF3" s="54" t="s">
        <v>33</v>
      </c>
      <c r="AG3" s="55"/>
      <c r="AH3" s="7" t="s">
        <v>34</v>
      </c>
    </row>
    <row r="4" spans="1:34" ht="30" customHeight="1">
      <c r="A4" s="62"/>
      <c r="B4" s="8" t="s">
        <v>35</v>
      </c>
      <c r="C4" s="8" t="s">
        <v>36</v>
      </c>
      <c r="D4" s="9" t="s">
        <v>37</v>
      </c>
      <c r="E4" s="9" t="s">
        <v>38</v>
      </c>
      <c r="F4" s="9" t="s">
        <v>37</v>
      </c>
      <c r="G4" s="9" t="s">
        <v>38</v>
      </c>
      <c r="H4" s="9" t="s">
        <v>37</v>
      </c>
      <c r="I4" s="9" t="s">
        <v>38</v>
      </c>
      <c r="J4" s="9" t="s">
        <v>37</v>
      </c>
      <c r="K4" s="9" t="s">
        <v>38</v>
      </c>
      <c r="L4" s="9" t="s">
        <v>37</v>
      </c>
      <c r="M4" s="9" t="s">
        <v>38</v>
      </c>
      <c r="N4" s="9" t="s">
        <v>37</v>
      </c>
      <c r="O4" s="9" t="s">
        <v>38</v>
      </c>
      <c r="P4" s="9" t="s">
        <v>37</v>
      </c>
      <c r="Q4" s="9" t="s">
        <v>38</v>
      </c>
      <c r="R4" s="62"/>
      <c r="S4" s="62"/>
      <c r="T4" s="10" t="s">
        <v>39</v>
      </c>
      <c r="U4" s="10" t="s">
        <v>26</v>
      </c>
      <c r="V4" s="10" t="s">
        <v>39</v>
      </c>
      <c r="W4" s="10" t="s">
        <v>26</v>
      </c>
      <c r="X4" s="10" t="s">
        <v>39</v>
      </c>
      <c r="Y4" s="10" t="s">
        <v>26</v>
      </c>
      <c r="Z4" s="10" t="s">
        <v>39</v>
      </c>
      <c r="AA4" s="10" t="s">
        <v>26</v>
      </c>
      <c r="AB4" s="10" t="s">
        <v>39</v>
      </c>
      <c r="AC4" s="10" t="s">
        <v>26</v>
      </c>
      <c r="AD4" s="10" t="s">
        <v>39</v>
      </c>
      <c r="AE4" s="10" t="s">
        <v>26</v>
      </c>
      <c r="AF4" s="11" t="s">
        <v>40</v>
      </c>
      <c r="AG4" s="11" t="s">
        <v>41</v>
      </c>
      <c r="AH4" s="12"/>
    </row>
    <row r="5" spans="1:34" ht="30" customHeight="1">
      <c r="A5" s="13" t="s">
        <v>42</v>
      </c>
      <c r="B5" s="14">
        <v>2</v>
      </c>
      <c r="C5" s="15">
        <v>1</v>
      </c>
      <c r="D5" s="16">
        <v>45</v>
      </c>
      <c r="E5" s="16">
        <v>12</v>
      </c>
      <c r="F5" s="16">
        <v>50</v>
      </c>
      <c r="G5" s="16">
        <v>12</v>
      </c>
      <c r="H5" s="16">
        <v>55</v>
      </c>
      <c r="I5" s="16">
        <v>10.5</v>
      </c>
      <c r="J5" s="17"/>
      <c r="K5" s="17"/>
      <c r="L5" s="17"/>
      <c r="M5" s="17"/>
      <c r="N5" s="17"/>
      <c r="O5" s="17"/>
      <c r="P5" s="17"/>
      <c r="Q5" s="17"/>
      <c r="R5" s="18">
        <f t="array" ref="R5">D5*E5+F5*G5+H5*I5+J5*K5+L5*M5+N5*O5+P5*Q5</f>
        <v>1717.5</v>
      </c>
      <c r="S5" s="19">
        <f t="array" ref="S5">AVERAGE(E5,G5,I5,K5,M5,O5,Q5)</f>
        <v>11.5</v>
      </c>
      <c r="T5" s="20">
        <v>1392</v>
      </c>
      <c r="U5" s="21">
        <v>10.67</v>
      </c>
      <c r="V5" s="20">
        <v>1580</v>
      </c>
      <c r="W5" s="21">
        <v>10.666666666666666</v>
      </c>
      <c r="X5" s="20">
        <v>1580</v>
      </c>
      <c r="Y5" s="21">
        <v>10.666666666666666</v>
      </c>
      <c r="Z5" s="22">
        <v>1635</v>
      </c>
      <c r="AA5" s="21">
        <v>11</v>
      </c>
      <c r="AB5" s="17">
        <v>1635</v>
      </c>
      <c r="AC5" s="23">
        <v>11</v>
      </c>
      <c r="AD5" s="17">
        <v>1635</v>
      </c>
      <c r="AE5" s="23">
        <v>11</v>
      </c>
      <c r="AF5" s="24">
        <f t="array" ref="AF5">(R5-T5)/T5</f>
        <v>0.23383620689655171</v>
      </c>
      <c r="AG5" s="24">
        <f t="array" ref="AG5">(S5-U5)/U5</f>
        <v>7.7788191190253056E-2</v>
      </c>
      <c r="AH5" s="25">
        <f t="array" ref="AH5">MAX(T5,V5,X5,Z5,AB5,AD5)</f>
        <v>1635</v>
      </c>
    </row>
    <row r="6" spans="1:34" ht="30" customHeight="1">
      <c r="A6" s="26" t="s">
        <v>43</v>
      </c>
      <c r="B6" s="27">
        <v>1</v>
      </c>
      <c r="C6" s="28">
        <v>1</v>
      </c>
      <c r="D6" s="29"/>
      <c r="E6" s="29"/>
      <c r="F6" s="30">
        <v>52</v>
      </c>
      <c r="G6" s="30">
        <v>12</v>
      </c>
      <c r="H6" s="30">
        <v>62</v>
      </c>
      <c r="I6" s="30">
        <v>11</v>
      </c>
      <c r="J6" s="31"/>
      <c r="K6" s="31"/>
      <c r="L6" s="31"/>
      <c r="M6" s="31"/>
      <c r="N6" s="31"/>
      <c r="O6" s="31"/>
      <c r="P6" s="31"/>
      <c r="Q6" s="31"/>
      <c r="R6" s="32">
        <f t="array" ref="R6">D6*E6+F6*G6+H6*I6+J6*K6+L6*M6+N6*O6+P6*Q6</f>
        <v>1306</v>
      </c>
      <c r="S6" s="33">
        <f t="array" ref="S6">AVERAGE(E6,G6,I6,K6,M6,O6,Q6)</f>
        <v>11.5</v>
      </c>
      <c r="T6" s="22">
        <v>720</v>
      </c>
      <c r="U6" s="34">
        <v>10</v>
      </c>
      <c r="V6" s="30">
        <v>920</v>
      </c>
      <c r="W6" s="34">
        <v>10</v>
      </c>
      <c r="X6" s="30">
        <v>920</v>
      </c>
      <c r="Y6" s="34">
        <v>10</v>
      </c>
      <c r="Z6" s="30">
        <v>972</v>
      </c>
      <c r="AA6" s="34">
        <v>10.5</v>
      </c>
      <c r="AB6" s="31">
        <v>1182</v>
      </c>
      <c r="AC6" s="35">
        <v>10.5</v>
      </c>
      <c r="AD6" s="31">
        <v>1182</v>
      </c>
      <c r="AE6" s="35">
        <v>10.5</v>
      </c>
      <c r="AF6" s="36">
        <f t="array" ref="AF6">(R6-T6)/T6</f>
        <v>0.81388888888888888</v>
      </c>
      <c r="AG6" s="36">
        <f t="array" ref="AG6">(S6-U6)/U6</f>
        <v>0.15</v>
      </c>
      <c r="AH6" s="37">
        <f t="array" ref="AH6">MAX(T6,V6,X6,Z6,AB6,AD6)</f>
        <v>1182</v>
      </c>
    </row>
    <row r="7" spans="1:34" ht="30" customHeight="1">
      <c r="A7" s="26" t="s">
        <v>44</v>
      </c>
      <c r="B7" s="27">
        <v>1</v>
      </c>
      <c r="C7" s="28">
        <v>1</v>
      </c>
      <c r="D7" s="29"/>
      <c r="E7" s="29"/>
      <c r="F7" s="30">
        <v>40</v>
      </c>
      <c r="G7" s="30">
        <v>12</v>
      </c>
      <c r="H7" s="30">
        <v>50</v>
      </c>
      <c r="I7" s="30">
        <v>10</v>
      </c>
      <c r="J7" s="31"/>
      <c r="K7" s="31"/>
      <c r="L7" s="31"/>
      <c r="M7" s="31"/>
      <c r="N7" s="31"/>
      <c r="O7" s="31"/>
      <c r="P7" s="31"/>
      <c r="Q7" s="31"/>
      <c r="R7" s="32">
        <f t="array" ref="R7">D7*E7+F7*G7+H7*I7+J7*K7+L7*M7+N7*O7+P7*Q7</f>
        <v>980</v>
      </c>
      <c r="S7" s="33">
        <f t="array" ref="S7">AVERAGE(E7,G7,I7,K7,M7,O7,Q7)</f>
        <v>11</v>
      </c>
      <c r="T7" s="22">
        <v>840</v>
      </c>
      <c r="U7" s="34">
        <v>10</v>
      </c>
      <c r="V7" s="30">
        <v>960</v>
      </c>
      <c r="W7" s="34">
        <v>12</v>
      </c>
      <c r="X7" s="30">
        <v>830</v>
      </c>
      <c r="Y7" s="34">
        <v>9.5</v>
      </c>
      <c r="Z7" s="30">
        <v>980</v>
      </c>
      <c r="AA7" s="34">
        <v>11</v>
      </c>
      <c r="AB7" s="31">
        <v>980</v>
      </c>
      <c r="AC7" s="35">
        <v>11</v>
      </c>
      <c r="AD7" s="31">
        <v>880</v>
      </c>
      <c r="AE7" s="35">
        <v>10</v>
      </c>
      <c r="AF7" s="36">
        <f t="array" ref="AF7">(R7-T7)/T7</f>
        <v>0.16666666666666666</v>
      </c>
      <c r="AG7" s="36">
        <f t="array" ref="AG7">(S7-U7)/U7</f>
        <v>0.1</v>
      </c>
      <c r="AH7" s="37">
        <f t="array" ref="AH7">MAX(T7,V7,X7,Z7,AB7,AD7)</f>
        <v>980</v>
      </c>
    </row>
    <row r="8" spans="1:34" ht="30" customHeight="1">
      <c r="A8" s="26" t="s">
        <v>45</v>
      </c>
      <c r="B8" s="27">
        <v>2</v>
      </c>
      <c r="C8" s="28">
        <v>1</v>
      </c>
      <c r="D8" s="30">
        <v>20</v>
      </c>
      <c r="E8" s="30">
        <v>12</v>
      </c>
      <c r="F8" s="30">
        <v>20</v>
      </c>
      <c r="G8" s="30">
        <v>12</v>
      </c>
      <c r="H8" s="30">
        <v>25</v>
      </c>
      <c r="I8" s="30">
        <v>12</v>
      </c>
      <c r="J8" s="31"/>
      <c r="K8" s="31"/>
      <c r="L8" s="31"/>
      <c r="M8" s="31"/>
      <c r="N8" s="31"/>
      <c r="O8" s="31"/>
      <c r="P8" s="31"/>
      <c r="Q8" s="31"/>
      <c r="R8" s="32">
        <f t="array" ref="R8">D8*E8+F8*G8+H8*I8+J8*K8+L8*M8+N8*O8+P8*Q8</f>
        <v>780</v>
      </c>
      <c r="S8" s="33">
        <f t="array" ref="S8">AVERAGE(E8,G8,I8,K8,M8,O8,Q8)</f>
        <v>12</v>
      </c>
      <c r="T8" s="22">
        <v>540</v>
      </c>
      <c r="U8" s="34">
        <v>11</v>
      </c>
      <c r="V8" s="30">
        <v>544</v>
      </c>
      <c r="W8" s="34">
        <v>10.666666666666666</v>
      </c>
      <c r="X8" s="30">
        <v>680</v>
      </c>
      <c r="Y8" s="34">
        <v>10.666666666666666</v>
      </c>
      <c r="Z8" s="30">
        <v>730</v>
      </c>
      <c r="AA8" s="34">
        <v>11.333333333333334</v>
      </c>
      <c r="AB8" s="31">
        <v>730</v>
      </c>
      <c r="AC8" s="35">
        <v>11.333333333333334</v>
      </c>
      <c r="AD8" s="31">
        <v>730</v>
      </c>
      <c r="AE8" s="35">
        <v>11.333333333333334</v>
      </c>
      <c r="AF8" s="36">
        <f t="array" ref="AF8">(R8-T8)/T8</f>
        <v>0.44444444444444442</v>
      </c>
      <c r="AG8" s="36">
        <f t="array" ref="AG8">(S8-U8)/U8</f>
        <v>9.0909090909090912E-2</v>
      </c>
      <c r="AH8" s="37">
        <f t="array" ref="AH8">MAX(T8,V8,X8,Z8,AB8,AD8)</f>
        <v>730</v>
      </c>
    </row>
    <row r="9" spans="1:34" ht="30" customHeight="1">
      <c r="A9" s="26" t="s">
        <v>46</v>
      </c>
      <c r="B9" s="27">
        <v>2</v>
      </c>
      <c r="C9" s="28">
        <v>1</v>
      </c>
      <c r="D9" s="30">
        <v>30</v>
      </c>
      <c r="E9" s="30">
        <v>12</v>
      </c>
      <c r="F9" s="30">
        <v>30</v>
      </c>
      <c r="G9" s="30">
        <v>12</v>
      </c>
      <c r="H9" s="30">
        <v>35</v>
      </c>
      <c r="I9" s="30">
        <v>12</v>
      </c>
      <c r="J9" s="31"/>
      <c r="K9" s="31"/>
      <c r="L9" s="31"/>
      <c r="M9" s="31"/>
      <c r="N9" s="31"/>
      <c r="O9" s="31"/>
      <c r="P9" s="31"/>
      <c r="Q9" s="31"/>
      <c r="R9" s="32">
        <f t="array" ref="R9">D9*E9+F9*G9+H9*I9+J9*K9+L9*M9+N9*O9+P9*Q9</f>
        <v>1140</v>
      </c>
      <c r="S9" s="33">
        <f t="array" ref="S9">AVERAGE(E9,G9,I9,K9,M9,O9,Q9)</f>
        <v>12</v>
      </c>
      <c r="T9" s="22">
        <v>816</v>
      </c>
      <c r="U9" s="34">
        <v>10.67</v>
      </c>
      <c r="V9" s="30">
        <v>828</v>
      </c>
      <c r="W9" s="34">
        <v>10.666666666666666</v>
      </c>
      <c r="X9" s="30">
        <v>905</v>
      </c>
      <c r="Y9" s="34">
        <v>9.6666666666666661</v>
      </c>
      <c r="Z9" s="30">
        <v>1040</v>
      </c>
      <c r="AA9" s="34">
        <v>11</v>
      </c>
      <c r="AB9" s="31">
        <v>1040</v>
      </c>
      <c r="AC9" s="35">
        <v>11</v>
      </c>
      <c r="AD9" s="31">
        <v>1040</v>
      </c>
      <c r="AE9" s="35">
        <v>11</v>
      </c>
      <c r="AF9" s="36">
        <f t="array" ref="AF9">(R9-T9)/T9</f>
        <v>0.39705882352941174</v>
      </c>
      <c r="AG9" s="36">
        <f t="array" ref="AG9">(S9-U9)/U9</f>
        <v>0.12464854732895971</v>
      </c>
      <c r="AH9" s="37">
        <f t="array" ref="AH9">MAX(T9,V9,X9,Z9,AB9,AD9)</f>
        <v>1040</v>
      </c>
    </row>
    <row r="10" spans="1:34" ht="30" customHeight="1">
      <c r="A10" s="38"/>
      <c r="B10" s="56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5"/>
      <c r="AH10" s="37"/>
    </row>
    <row r="11" spans="1:34" ht="30" customHeight="1">
      <c r="A11" s="26" t="s">
        <v>47</v>
      </c>
      <c r="B11" s="27">
        <v>2</v>
      </c>
      <c r="C11" s="28">
        <v>1</v>
      </c>
      <c r="D11" s="30">
        <v>4</v>
      </c>
      <c r="E11" s="30">
        <v>12</v>
      </c>
      <c r="F11" s="30">
        <v>4</v>
      </c>
      <c r="G11" s="30">
        <v>12</v>
      </c>
      <c r="H11" s="30">
        <v>5</v>
      </c>
      <c r="I11" s="30">
        <v>11</v>
      </c>
      <c r="J11" s="31"/>
      <c r="K11" s="31"/>
      <c r="L11" s="31"/>
      <c r="M11" s="31"/>
      <c r="N11" s="31"/>
      <c r="O11" s="31"/>
      <c r="P11" s="31"/>
      <c r="Q11" s="31"/>
      <c r="R11" s="32">
        <f t="array" ref="R11">D11*E11+F11*G11+H11*I11+J11*K11+L11*M11+N11*O11+P11*Q11</f>
        <v>151</v>
      </c>
      <c r="S11" s="33">
        <f t="array" ref="S11">AVERAGE(E11,G11,I11,K11,M11,O11,Q11)</f>
        <v>11.666666666666666</v>
      </c>
      <c r="T11" s="30">
        <v>115</v>
      </c>
      <c r="U11" s="34">
        <v>9</v>
      </c>
      <c r="V11" s="30">
        <v>115</v>
      </c>
      <c r="W11" s="34">
        <v>9</v>
      </c>
      <c r="X11" s="39">
        <v>136</v>
      </c>
      <c r="Y11" s="34">
        <v>10.666666666666666</v>
      </c>
      <c r="Z11" s="39">
        <v>136</v>
      </c>
      <c r="AA11" s="34">
        <v>10.666666666666666</v>
      </c>
      <c r="AB11" s="31">
        <v>136</v>
      </c>
      <c r="AC11" s="35">
        <v>10.666666666666666</v>
      </c>
      <c r="AD11" s="31">
        <v>141</v>
      </c>
      <c r="AE11" s="35">
        <v>11</v>
      </c>
      <c r="AF11" s="36">
        <f t="array" ref="AF11">(R11-T11)/T11</f>
        <v>0.31304347826086959</v>
      </c>
      <c r="AG11" s="36">
        <f t="array" ref="AG11">(S11-U11)/U11</f>
        <v>0.29629629629629622</v>
      </c>
      <c r="AH11" s="37">
        <f t="array" ref="AH11">MAX(T11,V11,X11,Z11,AB11,AD11)</f>
        <v>141</v>
      </c>
    </row>
    <row r="12" spans="1:34" ht="30" customHeight="1">
      <c r="A12" s="26" t="s">
        <v>48</v>
      </c>
      <c r="B12" s="27">
        <v>2</v>
      </c>
      <c r="C12" s="28">
        <v>1</v>
      </c>
      <c r="D12" s="30">
        <v>8</v>
      </c>
      <c r="E12" s="30">
        <v>12</v>
      </c>
      <c r="F12" s="30">
        <v>8</v>
      </c>
      <c r="G12" s="30">
        <v>12</v>
      </c>
      <c r="H12" s="30">
        <v>9</v>
      </c>
      <c r="I12" s="30">
        <v>12</v>
      </c>
      <c r="J12" s="31"/>
      <c r="K12" s="31"/>
      <c r="L12" s="31"/>
      <c r="M12" s="31"/>
      <c r="N12" s="31"/>
      <c r="O12" s="31"/>
      <c r="P12" s="31"/>
      <c r="Q12" s="31"/>
      <c r="R12" s="32">
        <f t="array" ref="R12">D12*E12+F12*G12+H12*I12+J12*K12+L12*M12+N12*O12+P12*Q12</f>
        <v>300</v>
      </c>
      <c r="S12" s="33">
        <f t="array" ref="S12">AVERAGE(E12,G12,I12,K12,M12,O12,Q12)</f>
        <v>12</v>
      </c>
      <c r="T12" s="30">
        <v>230</v>
      </c>
      <c r="U12" s="34">
        <v>9</v>
      </c>
      <c r="V12" s="30">
        <v>256</v>
      </c>
      <c r="W12" s="34">
        <v>10</v>
      </c>
      <c r="X12" s="30">
        <v>266</v>
      </c>
      <c r="Y12" s="34">
        <v>10.333333333333334</v>
      </c>
      <c r="Z12" s="39">
        <v>282</v>
      </c>
      <c r="AA12" s="34">
        <v>11</v>
      </c>
      <c r="AB12" s="31">
        <v>282</v>
      </c>
      <c r="AC12" s="35">
        <v>11</v>
      </c>
      <c r="AD12" s="31">
        <v>298</v>
      </c>
      <c r="AE12" s="35">
        <v>11.333333333333334</v>
      </c>
      <c r="AF12" s="36">
        <f t="array" ref="AF12">(R12-T12)/T12</f>
        <v>0.30434782608695654</v>
      </c>
      <c r="AG12" s="36">
        <f t="array" ref="AG12">(S12-U12)/U12</f>
        <v>0.33333333333333331</v>
      </c>
      <c r="AH12" s="37">
        <f t="array" ref="AH12">MAX(T12,V12,X12,Z12,AB12,AD12)</f>
        <v>298</v>
      </c>
    </row>
    <row r="13" spans="1:34" ht="30" customHeight="1">
      <c r="A13" s="26" t="s">
        <v>49</v>
      </c>
      <c r="B13" s="27">
        <v>1</v>
      </c>
      <c r="C13" s="28">
        <v>1</v>
      </c>
      <c r="D13" s="29"/>
      <c r="E13" s="29"/>
      <c r="F13" s="30">
        <v>20</v>
      </c>
      <c r="G13" s="30">
        <v>12</v>
      </c>
      <c r="H13" s="30">
        <v>25</v>
      </c>
      <c r="I13" s="30">
        <v>10</v>
      </c>
      <c r="J13" s="31"/>
      <c r="K13" s="31"/>
      <c r="L13" s="31"/>
      <c r="M13" s="31"/>
      <c r="N13" s="31"/>
      <c r="O13" s="31"/>
      <c r="P13" s="31"/>
      <c r="Q13" s="31"/>
      <c r="R13" s="32">
        <f t="array" ref="R13">D13*E13+F13*G13+H13*I13+J13*K13+L13*M13+N13*O13+P13*Q13</f>
        <v>490</v>
      </c>
      <c r="S13" s="33">
        <f t="array" ref="S13">AVERAGE(E13,G13,I13,K13,M13,O13,Q13)</f>
        <v>11</v>
      </c>
      <c r="T13" s="30">
        <v>400</v>
      </c>
      <c r="U13" s="34">
        <v>9</v>
      </c>
      <c r="V13" s="30">
        <v>440</v>
      </c>
      <c r="W13" s="34">
        <v>10</v>
      </c>
      <c r="X13" s="30">
        <v>425</v>
      </c>
      <c r="Y13" s="34">
        <v>8.5</v>
      </c>
      <c r="Z13" s="39">
        <v>465</v>
      </c>
      <c r="AA13" s="34">
        <v>10.5</v>
      </c>
      <c r="AB13" s="31">
        <v>465</v>
      </c>
      <c r="AC13" s="35">
        <v>10.5</v>
      </c>
      <c r="AD13" s="31">
        <v>490</v>
      </c>
      <c r="AE13" s="35">
        <v>11</v>
      </c>
      <c r="AF13" s="36">
        <f t="array" ref="AF13">(R13-T13)/T13</f>
        <v>0.22500000000000001</v>
      </c>
      <c r="AG13" s="36">
        <f t="array" ref="AG13">(S13-U13)/U13</f>
        <v>0.22222222222222221</v>
      </c>
      <c r="AH13" s="37">
        <f t="array" ref="AH13">MAX(T13,V13,X13,Z13,AB13,AD13)</f>
        <v>490</v>
      </c>
    </row>
    <row r="14" spans="1:34" ht="30" customHeight="1">
      <c r="A14" s="26" t="s">
        <v>50</v>
      </c>
      <c r="B14" s="27">
        <v>1</v>
      </c>
      <c r="C14" s="28">
        <v>1</v>
      </c>
      <c r="D14" s="29"/>
      <c r="E14" s="29"/>
      <c r="F14" s="30">
        <v>10</v>
      </c>
      <c r="G14" s="30">
        <v>12</v>
      </c>
      <c r="H14" s="30">
        <v>14</v>
      </c>
      <c r="I14" s="30">
        <v>9</v>
      </c>
      <c r="J14" s="31"/>
      <c r="K14" s="31"/>
      <c r="L14" s="31"/>
      <c r="M14" s="31"/>
      <c r="N14" s="31"/>
      <c r="O14" s="31"/>
      <c r="P14" s="31"/>
      <c r="Q14" s="31"/>
      <c r="R14" s="32">
        <f t="array" ref="R14">D14*E14+F14*G14+H14*I14+J14*K14+L14*M14+N14*O14+P14*Q14</f>
        <v>246</v>
      </c>
      <c r="S14" s="33">
        <f t="array" ref="S14">AVERAGE(E14,G14,I14,K14,M14,O14,Q14)</f>
        <v>10.5</v>
      </c>
      <c r="T14" s="30">
        <v>176</v>
      </c>
      <c r="U14" s="34">
        <v>10</v>
      </c>
      <c r="V14" s="30">
        <v>197</v>
      </c>
      <c r="W14" s="34">
        <v>9.5</v>
      </c>
      <c r="X14" s="39">
        <v>260</v>
      </c>
      <c r="Y14" s="34">
        <v>13</v>
      </c>
      <c r="Z14" s="30">
        <v>240</v>
      </c>
      <c r="AA14" s="34">
        <v>11</v>
      </c>
      <c r="AB14" s="31">
        <v>240</v>
      </c>
      <c r="AC14" s="35">
        <v>11</v>
      </c>
      <c r="AD14" s="31">
        <v>252</v>
      </c>
      <c r="AE14" s="35">
        <v>11.5</v>
      </c>
      <c r="AF14" s="36">
        <f t="array" ref="AF14">(R14-T14)/T14</f>
        <v>0.39772727272727271</v>
      </c>
      <c r="AG14" s="36">
        <f t="array" ref="AG14">(S14-U14)/U14</f>
        <v>0.05</v>
      </c>
      <c r="AH14" s="37">
        <f t="array" ref="AH14">MAX(T14,V14,X14,Z14,AB14,AD14)</f>
        <v>260</v>
      </c>
    </row>
    <row r="15" spans="1:34" ht="30" customHeight="1">
      <c r="A15" s="26" t="s">
        <v>51</v>
      </c>
      <c r="B15" s="27">
        <v>1</v>
      </c>
      <c r="C15" s="28">
        <v>1</v>
      </c>
      <c r="D15" s="29"/>
      <c r="E15" s="29"/>
      <c r="F15" s="30">
        <v>5</v>
      </c>
      <c r="G15" s="30">
        <v>12</v>
      </c>
      <c r="H15" s="30">
        <v>7</v>
      </c>
      <c r="I15" s="30">
        <v>9</v>
      </c>
      <c r="J15" s="31"/>
      <c r="K15" s="31"/>
      <c r="L15" s="31"/>
      <c r="M15" s="31"/>
      <c r="N15" s="31"/>
      <c r="O15" s="31"/>
      <c r="P15" s="31"/>
      <c r="Q15" s="31"/>
      <c r="R15" s="32">
        <f t="array" ref="R15">D15*E15+F15*G15+H15*I15+J15*K15+L15*M15+N15*O15+P15*Q15</f>
        <v>123</v>
      </c>
      <c r="S15" s="33">
        <f t="array" ref="S15">AVERAGE(E15,G15,I15,K15,M15,O15,Q15)</f>
        <v>10.5</v>
      </c>
      <c r="T15" s="30">
        <v>70</v>
      </c>
      <c r="U15" s="34">
        <v>10</v>
      </c>
      <c r="V15" s="30">
        <v>70</v>
      </c>
      <c r="W15" s="34">
        <v>10</v>
      </c>
      <c r="X15" s="30">
        <v>75</v>
      </c>
      <c r="Y15" s="34">
        <v>10.5</v>
      </c>
      <c r="Z15" s="39">
        <v>80</v>
      </c>
      <c r="AA15" s="34">
        <v>11</v>
      </c>
      <c r="AB15" s="31">
        <v>80</v>
      </c>
      <c r="AC15" s="35">
        <v>11</v>
      </c>
      <c r="AD15" s="31">
        <v>116</v>
      </c>
      <c r="AE15" s="35">
        <v>10</v>
      </c>
      <c r="AF15" s="36">
        <f t="array" ref="AF15">(R15-T15)/T15</f>
        <v>0.75714285714285712</v>
      </c>
      <c r="AG15" s="36">
        <f t="array" ref="AG15">(S15-U15)/U15</f>
        <v>0.05</v>
      </c>
      <c r="AH15" s="37">
        <f t="array" ref="AH15">MAX(T15,V15,X15,Z15,AB15,AD15)</f>
        <v>116</v>
      </c>
    </row>
    <row r="16" spans="1:34" ht="30" customHeight="1">
      <c r="A16" s="38"/>
      <c r="B16" s="56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5"/>
      <c r="AH16" s="37"/>
    </row>
    <row r="17" spans="1:34" ht="30" customHeight="1">
      <c r="A17" s="26" t="s">
        <v>42</v>
      </c>
      <c r="B17" s="27">
        <v>2</v>
      </c>
      <c r="C17" s="28">
        <v>1</v>
      </c>
      <c r="D17" s="30">
        <v>45</v>
      </c>
      <c r="E17" s="30">
        <v>12</v>
      </c>
      <c r="F17" s="30">
        <v>50</v>
      </c>
      <c r="G17" s="30">
        <v>12</v>
      </c>
      <c r="H17" s="30">
        <v>55</v>
      </c>
      <c r="I17" s="30">
        <v>16</v>
      </c>
      <c r="J17" s="31"/>
      <c r="K17" s="31"/>
      <c r="L17" s="31"/>
      <c r="M17" s="31"/>
      <c r="N17" s="31"/>
      <c r="O17" s="31"/>
      <c r="P17" s="31"/>
      <c r="Q17" s="31"/>
      <c r="R17" s="32">
        <f t="array" ref="R17">D17*E17+F17*G17+H17*I17+J17*K17+L17*M17+N17*O17+P17*Q17</f>
        <v>2020</v>
      </c>
      <c r="S17" s="33">
        <f t="array" ref="S17">AVERAGE(E17,G17,I17,K17,M17,O17,Q17)</f>
        <v>13.333333333333334</v>
      </c>
      <c r="T17" s="30">
        <v>1520</v>
      </c>
      <c r="U17" s="34">
        <v>10.666666666666666</v>
      </c>
      <c r="V17" s="30">
        <v>1580</v>
      </c>
      <c r="W17" s="34">
        <v>10.666666666666666</v>
      </c>
      <c r="X17" s="39">
        <v>1635</v>
      </c>
      <c r="Y17" s="34">
        <v>11</v>
      </c>
      <c r="Z17" s="39">
        <v>1635</v>
      </c>
      <c r="AA17" s="34">
        <v>11</v>
      </c>
      <c r="AB17" s="31">
        <v>1635</v>
      </c>
      <c r="AC17" s="35">
        <v>11</v>
      </c>
      <c r="AD17" s="31">
        <v>1745</v>
      </c>
      <c r="AE17" s="35">
        <v>11.666666666666666</v>
      </c>
      <c r="AF17" s="36">
        <f t="array" ref="AF17">(R17-T17)/T17</f>
        <v>0.32894736842105265</v>
      </c>
      <c r="AG17" s="36">
        <f t="array" ref="AG17">(S17-U17)/U17</f>
        <v>0.25000000000000011</v>
      </c>
      <c r="AH17" s="37">
        <f t="array" ref="AH17">MAX(T17,V17,X17,Z17,AB17,AD17)</f>
        <v>1745</v>
      </c>
    </row>
    <row r="18" spans="1:34" ht="30" customHeight="1">
      <c r="A18" s="26" t="s">
        <v>43</v>
      </c>
      <c r="B18" s="27">
        <v>1</v>
      </c>
      <c r="C18" s="28">
        <v>1</v>
      </c>
      <c r="D18" s="29"/>
      <c r="E18" s="29"/>
      <c r="F18" s="30">
        <v>62</v>
      </c>
      <c r="G18" s="30">
        <v>12</v>
      </c>
      <c r="H18" s="30">
        <v>72</v>
      </c>
      <c r="I18" s="30">
        <v>11</v>
      </c>
      <c r="J18" s="31"/>
      <c r="K18" s="31"/>
      <c r="L18" s="31"/>
      <c r="M18" s="31"/>
      <c r="N18" s="31"/>
      <c r="O18" s="31"/>
      <c r="P18" s="31"/>
      <c r="Q18" s="31"/>
      <c r="R18" s="32">
        <f t="array" ref="R18">D18*E18+F18*G18+H18*I18+J18*K18+L18*M18+N18*O18+P18*Q18</f>
        <v>1536</v>
      </c>
      <c r="S18" s="33">
        <f t="array" ref="S18">AVERAGE(E18,G18,I18,K18,M18,O18,Q18)</f>
        <v>11.5</v>
      </c>
      <c r="T18" s="30">
        <v>820</v>
      </c>
      <c r="U18" s="34">
        <v>10</v>
      </c>
      <c r="V18" s="30">
        <v>1058</v>
      </c>
      <c r="W18" s="34">
        <v>9.5</v>
      </c>
      <c r="X18" s="39">
        <v>1182</v>
      </c>
      <c r="Y18" s="34">
        <v>10.5</v>
      </c>
      <c r="Z18" s="39">
        <v>1182</v>
      </c>
      <c r="AA18" s="34">
        <v>10.5</v>
      </c>
      <c r="AB18" s="31">
        <v>1182</v>
      </c>
      <c r="AC18" s="35">
        <v>10.5</v>
      </c>
      <c r="AD18" s="31">
        <v>1368</v>
      </c>
      <c r="AE18" s="35">
        <v>12</v>
      </c>
      <c r="AF18" s="36">
        <f t="array" ref="AF18">(R18-T18)/T18</f>
        <v>0.87317073170731707</v>
      </c>
      <c r="AG18" s="36">
        <f t="array" ref="AG18">(S18-U18)/U18</f>
        <v>0.15</v>
      </c>
      <c r="AH18" s="37">
        <f t="array" ref="AH18">MAX(T18,V18,X18,Z18,AB18,AD18)</f>
        <v>1368</v>
      </c>
    </row>
    <row r="19" spans="1:34" ht="30" customHeight="1">
      <c r="A19" s="26" t="s">
        <v>52</v>
      </c>
      <c r="B19" s="27">
        <v>1</v>
      </c>
      <c r="C19" s="28">
        <v>1</v>
      </c>
      <c r="D19" s="29"/>
      <c r="E19" s="29"/>
      <c r="F19" s="30">
        <v>40</v>
      </c>
      <c r="G19" s="30">
        <v>12</v>
      </c>
      <c r="H19" s="30">
        <v>50</v>
      </c>
      <c r="I19" s="30">
        <v>10</v>
      </c>
      <c r="J19" s="31"/>
      <c r="K19" s="31"/>
      <c r="L19" s="31"/>
      <c r="M19" s="31"/>
      <c r="N19" s="31"/>
      <c r="O19" s="31"/>
      <c r="P19" s="31"/>
      <c r="Q19" s="31"/>
      <c r="R19" s="32">
        <f t="array" ref="R19">D19*E19+F19*G19+H19*I19+J19*K19+L19*M19+N19*O19+P19*Q19</f>
        <v>980</v>
      </c>
      <c r="S19" s="33">
        <f t="array" ref="S19">AVERAGE(E19,G19,I19,K19,M19,O19,Q19)</f>
        <v>11</v>
      </c>
      <c r="T19" s="30">
        <v>605</v>
      </c>
      <c r="U19" s="34">
        <v>9.5</v>
      </c>
      <c r="V19" s="30">
        <v>640</v>
      </c>
      <c r="W19" s="34">
        <v>9.5</v>
      </c>
      <c r="X19" s="30">
        <v>720</v>
      </c>
      <c r="Y19" s="34">
        <v>10.5</v>
      </c>
      <c r="Z19" s="39">
        <v>760</v>
      </c>
      <c r="AA19" s="34">
        <v>11</v>
      </c>
      <c r="AB19" s="31">
        <v>760</v>
      </c>
      <c r="AC19" s="35">
        <v>11</v>
      </c>
      <c r="AD19" s="31">
        <v>840</v>
      </c>
      <c r="AE19" s="35">
        <v>12</v>
      </c>
      <c r="AF19" s="36">
        <f t="array" ref="AF19">(R19-T19)/T19</f>
        <v>0.6198347107438017</v>
      </c>
      <c r="AG19" s="36">
        <f t="array" ref="AG19">(S19-U19)/U19</f>
        <v>0.15789473684210525</v>
      </c>
      <c r="AH19" s="37">
        <f t="array" ref="AH19">MAX(T19,V19,X19,Z19,AB19,AD19)</f>
        <v>840</v>
      </c>
    </row>
    <row r="20" spans="1:34" ht="30" customHeight="1">
      <c r="A20" s="26" t="s">
        <v>53</v>
      </c>
      <c r="B20" s="27">
        <v>2</v>
      </c>
      <c r="C20" s="28">
        <v>1</v>
      </c>
      <c r="D20" s="30">
        <v>15</v>
      </c>
      <c r="E20" s="30">
        <v>12</v>
      </c>
      <c r="F20" s="30">
        <v>15</v>
      </c>
      <c r="G20" s="30">
        <v>12</v>
      </c>
      <c r="H20" s="30">
        <v>15</v>
      </c>
      <c r="I20" s="30">
        <v>7</v>
      </c>
      <c r="J20" s="31"/>
      <c r="K20" s="31"/>
      <c r="L20" s="31"/>
      <c r="M20" s="31"/>
      <c r="N20" s="31"/>
      <c r="O20" s="31"/>
      <c r="P20" s="31"/>
      <c r="Q20" s="31"/>
      <c r="R20" s="32">
        <f t="array" ref="R20">D20*E20+F20*G20+H20*I20+J20*K20+L20*M20+N20*O20+P20*Q20</f>
        <v>465</v>
      </c>
      <c r="S20" s="33">
        <f t="array" ref="S20">AVERAGE(E20,G20,I20,K20,M20,O20,Q20)</f>
        <v>10.333333333333334</v>
      </c>
      <c r="T20" s="30">
        <v>258</v>
      </c>
      <c r="U20" s="34">
        <v>10</v>
      </c>
      <c r="V20" s="30">
        <v>360</v>
      </c>
      <c r="W20" s="34">
        <v>10.666666666666666</v>
      </c>
      <c r="X20" s="30">
        <v>360</v>
      </c>
      <c r="Y20" s="34">
        <v>10.666666666666666</v>
      </c>
      <c r="Z20" s="39">
        <v>500</v>
      </c>
      <c r="AA20" s="34">
        <v>10.333333333333334</v>
      </c>
      <c r="AB20" s="31">
        <v>500</v>
      </c>
      <c r="AC20" s="35">
        <v>10.333333333333334</v>
      </c>
      <c r="AD20" s="31">
        <v>500</v>
      </c>
      <c r="AE20" s="35">
        <v>10.333333333333334</v>
      </c>
      <c r="AF20" s="36">
        <f t="array" ref="AF20">(R20-T20)/T20</f>
        <v>0.80232558139534882</v>
      </c>
      <c r="AG20" s="36">
        <f t="array" ref="AG20">(S20-U20)/U20</f>
        <v>3.3333333333333395E-2</v>
      </c>
      <c r="AH20" s="37">
        <f t="array" ref="AH20">MAX(T20,V20,X20,Z20,AB20,AD20)</f>
        <v>500</v>
      </c>
    </row>
    <row r="21" spans="1:34" ht="30" customHeight="1">
      <c r="A21" s="26" t="s">
        <v>45</v>
      </c>
      <c r="B21" s="27">
        <v>2</v>
      </c>
      <c r="C21" s="28">
        <v>1</v>
      </c>
      <c r="D21" s="30">
        <v>20</v>
      </c>
      <c r="E21" s="30">
        <v>12</v>
      </c>
      <c r="F21" s="30">
        <v>20</v>
      </c>
      <c r="G21" s="30">
        <v>12</v>
      </c>
      <c r="H21" s="30">
        <v>25</v>
      </c>
      <c r="I21" s="30">
        <v>12</v>
      </c>
      <c r="J21" s="31"/>
      <c r="K21" s="31"/>
      <c r="L21" s="31"/>
      <c r="M21" s="31"/>
      <c r="N21" s="31"/>
      <c r="O21" s="31"/>
      <c r="P21" s="31"/>
      <c r="Q21" s="31"/>
      <c r="R21" s="32">
        <f t="array" ref="R21">D21*E21+F21*G21+H21*I21+J21*K21+L21*M21+N21*O21+P21*Q21</f>
        <v>780</v>
      </c>
      <c r="S21" s="33">
        <f t="array" ref="S21">AVERAGE(E21,G21,I21,K21,M21,O21,Q21)</f>
        <v>12</v>
      </c>
      <c r="T21" s="30">
        <v>575</v>
      </c>
      <c r="U21" s="34">
        <v>9</v>
      </c>
      <c r="V21" s="30">
        <v>655</v>
      </c>
      <c r="W21" s="34">
        <v>10.333333333333334</v>
      </c>
      <c r="X21" s="30">
        <v>680</v>
      </c>
      <c r="Y21" s="34">
        <v>10.666666666666666</v>
      </c>
      <c r="Z21" s="39">
        <v>730</v>
      </c>
      <c r="AA21" s="34">
        <v>11.333333333333334</v>
      </c>
      <c r="AB21" s="31">
        <v>730</v>
      </c>
      <c r="AC21" s="35">
        <v>11.333333333333334</v>
      </c>
      <c r="AD21" s="31">
        <v>730</v>
      </c>
      <c r="AE21" s="35">
        <v>11.333333333333334</v>
      </c>
      <c r="AF21" s="40">
        <f t="array" ref="AF21">(R21-T21)/T21</f>
        <v>0.35652173913043478</v>
      </c>
      <c r="AG21" s="36">
        <f t="array" ref="AG21">(S21-U21)/U21</f>
        <v>0.33333333333333331</v>
      </c>
      <c r="AH21" s="37">
        <f t="array" ref="AH21">MAX(T21,V21,X21,Z21,AB21,AD21)</f>
        <v>730</v>
      </c>
    </row>
    <row r="22" spans="1:34" ht="30" customHeight="1">
      <c r="A22" s="38"/>
      <c r="B22" s="56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5"/>
      <c r="AH22" s="37"/>
    </row>
    <row r="23" spans="1:34" ht="30" customHeight="1">
      <c r="A23" s="26" t="s">
        <v>47</v>
      </c>
      <c r="B23" s="27">
        <v>2</v>
      </c>
      <c r="C23" s="28">
        <v>1</v>
      </c>
      <c r="D23" s="30">
        <v>4</v>
      </c>
      <c r="E23" s="30">
        <v>12</v>
      </c>
      <c r="F23" s="30">
        <v>4</v>
      </c>
      <c r="G23" s="30">
        <v>12</v>
      </c>
      <c r="H23" s="30">
        <v>5</v>
      </c>
      <c r="I23" s="30">
        <v>12</v>
      </c>
      <c r="J23" s="31"/>
      <c r="K23" s="31"/>
      <c r="L23" s="31"/>
      <c r="M23" s="31"/>
      <c r="N23" s="31"/>
      <c r="O23" s="31"/>
      <c r="P23" s="31"/>
      <c r="Q23" s="31"/>
      <c r="R23" s="32">
        <f t="array" ref="R23">D23*E23+F23*G23+H23*I23+J23*K23+L23*M23+N23*O23+P23*Q23</f>
        <v>156</v>
      </c>
      <c r="S23" s="33">
        <f t="array" ref="S23">AVERAGE(E23,G23,I23,K23,M23,O23,Q23)</f>
        <v>12</v>
      </c>
      <c r="T23" s="30">
        <v>115</v>
      </c>
      <c r="U23" s="34">
        <v>9</v>
      </c>
      <c r="V23" s="30">
        <v>119</v>
      </c>
      <c r="W23" s="34">
        <v>9.3333333333333339</v>
      </c>
      <c r="X23" s="30">
        <v>141</v>
      </c>
      <c r="Y23" s="34">
        <v>11</v>
      </c>
      <c r="Z23" s="39">
        <v>146</v>
      </c>
      <c r="AA23" s="34">
        <v>11.333333333333334</v>
      </c>
      <c r="AB23" s="31">
        <v>146</v>
      </c>
      <c r="AC23" s="35">
        <v>11.333333333333334</v>
      </c>
      <c r="AD23" s="31">
        <v>156</v>
      </c>
      <c r="AE23" s="35">
        <v>12</v>
      </c>
      <c r="AF23" s="40">
        <f t="array" ref="AF23">(R23-T23)/T23</f>
        <v>0.35652173913043478</v>
      </c>
      <c r="AG23" s="36">
        <f t="array" ref="AG23">(S23-U23)/U23</f>
        <v>0.33333333333333331</v>
      </c>
      <c r="AH23" s="37">
        <f t="array" ref="AH23">MAX(T23,V23,X23,Z23,AB23,AD23)</f>
        <v>156</v>
      </c>
    </row>
    <row r="24" spans="1:34" ht="30" customHeight="1">
      <c r="A24" s="26" t="s">
        <v>54</v>
      </c>
      <c r="B24" s="27">
        <v>2</v>
      </c>
      <c r="C24" s="28">
        <v>1</v>
      </c>
      <c r="D24" s="30">
        <v>6</v>
      </c>
      <c r="E24" s="30">
        <v>12</v>
      </c>
      <c r="F24" s="30">
        <v>6</v>
      </c>
      <c r="G24" s="30">
        <v>12</v>
      </c>
      <c r="H24" s="30">
        <v>7</v>
      </c>
      <c r="I24" s="30">
        <v>8</v>
      </c>
      <c r="J24" s="31"/>
      <c r="K24" s="31"/>
      <c r="L24" s="31"/>
      <c r="M24" s="31"/>
      <c r="N24" s="31"/>
      <c r="O24" s="31"/>
      <c r="P24" s="31"/>
      <c r="Q24" s="31"/>
      <c r="R24" s="32">
        <f t="array" ref="R24">D24*E24+F24*G24+H24*I24+J24*K24+L24*M24+N24*O24+P24*Q24</f>
        <v>200</v>
      </c>
      <c r="S24" s="33">
        <f t="array" ref="S24">AVERAGE(E24,G24,I24,K24,M24,O24,Q24)</f>
        <v>10.666666666666666</v>
      </c>
      <c r="T24" s="30">
        <v>136</v>
      </c>
      <c r="U24" s="34">
        <v>8.6666666666666661</v>
      </c>
      <c r="V24" s="30">
        <v>142</v>
      </c>
      <c r="W24" s="34">
        <v>9</v>
      </c>
      <c r="X24" s="30">
        <v>174</v>
      </c>
      <c r="Y24" s="34">
        <v>11</v>
      </c>
      <c r="Z24" s="39">
        <v>192</v>
      </c>
      <c r="AA24" s="34">
        <v>12</v>
      </c>
      <c r="AB24" s="31">
        <v>192</v>
      </c>
      <c r="AC24" s="35">
        <v>12</v>
      </c>
      <c r="AD24" s="31">
        <v>192</v>
      </c>
      <c r="AE24" s="35">
        <v>12</v>
      </c>
      <c r="AF24" s="40">
        <f t="array" ref="AF24">(R24-T24)/T24</f>
        <v>0.47058823529411764</v>
      </c>
      <c r="AG24" s="36">
        <f t="array" ref="AG24">(S24-U24)/U24</f>
        <v>0.23076923076923078</v>
      </c>
      <c r="AH24" s="37">
        <f t="array" ref="AH24">MAX(T24,V24,X24,Z24,AB24,AD24)</f>
        <v>192</v>
      </c>
    </row>
    <row r="25" spans="1:34" ht="30" customHeight="1">
      <c r="A25" s="26" t="s">
        <v>55</v>
      </c>
      <c r="B25" s="27">
        <v>1</v>
      </c>
      <c r="C25" s="28">
        <v>1</v>
      </c>
      <c r="D25" s="29"/>
      <c r="E25" s="29"/>
      <c r="F25" s="30">
        <v>25</v>
      </c>
      <c r="G25" s="30">
        <v>12</v>
      </c>
      <c r="H25" s="30">
        <v>30</v>
      </c>
      <c r="I25" s="30">
        <v>10</v>
      </c>
      <c r="J25" s="31"/>
      <c r="K25" s="31"/>
      <c r="L25" s="31"/>
      <c r="M25" s="31"/>
      <c r="N25" s="31"/>
      <c r="O25" s="31"/>
      <c r="P25" s="31"/>
      <c r="Q25" s="31"/>
      <c r="R25" s="32">
        <f t="array" ref="R25">D25*E25+F25*G25+H25*I25+J25*K25+L25*M25+N25*O25+P25*Q25</f>
        <v>600</v>
      </c>
      <c r="S25" s="33">
        <f t="array" ref="S25">AVERAGE(E25,G25,I25,K25,M25,O25,Q25)</f>
        <v>11</v>
      </c>
      <c r="T25" s="30">
        <v>415</v>
      </c>
      <c r="U25" s="34">
        <v>9.5</v>
      </c>
      <c r="V25" s="30">
        <v>460</v>
      </c>
      <c r="W25" s="34">
        <v>8.5</v>
      </c>
      <c r="X25" s="30">
        <v>570</v>
      </c>
      <c r="Y25" s="34">
        <v>10.5</v>
      </c>
      <c r="Z25" s="39">
        <v>600</v>
      </c>
      <c r="AA25" s="34">
        <v>11</v>
      </c>
      <c r="AB25" s="31">
        <v>600</v>
      </c>
      <c r="AC25" s="35">
        <v>11</v>
      </c>
      <c r="AD25" s="31">
        <v>600</v>
      </c>
      <c r="AE25" s="35">
        <v>11</v>
      </c>
      <c r="AF25" s="40">
        <f t="array" ref="AF25">(R25-T25)/T25</f>
        <v>0.44578313253012047</v>
      </c>
      <c r="AG25" s="36">
        <f t="array" ref="AG25">(S25-U25)/U25</f>
        <v>0.15789473684210525</v>
      </c>
      <c r="AH25" s="37">
        <f t="array" ref="AH25">MAX(T25,V25,X25,Z25,AB25,AD25)</f>
        <v>600</v>
      </c>
    </row>
    <row r="26" spans="1:34" ht="30" customHeight="1">
      <c r="A26" s="26" t="s">
        <v>56</v>
      </c>
      <c r="B26" s="27">
        <v>1</v>
      </c>
      <c r="C26" s="28">
        <v>1</v>
      </c>
      <c r="D26" s="29"/>
      <c r="E26" s="29"/>
      <c r="F26" s="30">
        <v>30</v>
      </c>
      <c r="G26" s="30">
        <v>12</v>
      </c>
      <c r="H26" s="30">
        <v>34</v>
      </c>
      <c r="I26" s="30">
        <v>8</v>
      </c>
      <c r="J26" s="31"/>
      <c r="K26" s="31"/>
      <c r="L26" s="31"/>
      <c r="M26" s="31"/>
      <c r="N26" s="31"/>
      <c r="O26" s="31"/>
      <c r="P26" s="31"/>
      <c r="Q26" s="31"/>
      <c r="R26" s="32">
        <f t="array" ref="R26">D26*E26+F26*G26+H26*I26+J26*K26+L26*M26+N26*O26+P26*Q26</f>
        <v>632</v>
      </c>
      <c r="S26" s="33">
        <f t="array" ref="S26">AVERAGE(E26,G26,I26,K26,M26,O26,Q26)</f>
        <v>10</v>
      </c>
      <c r="T26" s="30">
        <v>415</v>
      </c>
      <c r="U26" s="34">
        <v>9.5</v>
      </c>
      <c r="V26" s="30">
        <v>485</v>
      </c>
      <c r="W26" s="34">
        <v>9</v>
      </c>
      <c r="X26" s="30">
        <v>510</v>
      </c>
      <c r="Y26" s="34">
        <v>9.5</v>
      </c>
      <c r="Z26" s="39">
        <v>540</v>
      </c>
      <c r="AA26" s="34">
        <v>10</v>
      </c>
      <c r="AB26" s="31">
        <v>540</v>
      </c>
      <c r="AC26" s="35">
        <v>10</v>
      </c>
      <c r="AD26" s="31">
        <v>540</v>
      </c>
      <c r="AE26" s="35">
        <v>10</v>
      </c>
      <c r="AF26" s="40">
        <f t="array" ref="AF26">(R26-T26)/T26</f>
        <v>0.52289156626506028</v>
      </c>
      <c r="AG26" s="36">
        <f t="array" ref="AG26">(S26-U26)/U26</f>
        <v>5.2631578947368418E-2</v>
      </c>
      <c r="AH26" s="37">
        <f t="array" ref="AH26">MAX(T26,V26,X26,Z26,AB26,AD26)</f>
        <v>540</v>
      </c>
    </row>
    <row r="27" spans="1:34" ht="30" customHeight="1">
      <c r="A27" s="26" t="s">
        <v>57</v>
      </c>
      <c r="B27" s="27">
        <v>1</v>
      </c>
      <c r="C27" s="28">
        <v>1</v>
      </c>
      <c r="D27" s="29"/>
      <c r="E27" s="29"/>
      <c r="F27" s="30">
        <v>7</v>
      </c>
      <c r="G27" s="30">
        <v>12</v>
      </c>
      <c r="H27" s="30">
        <v>10</v>
      </c>
      <c r="I27" s="30">
        <v>5</v>
      </c>
      <c r="J27" s="31"/>
      <c r="K27" s="31"/>
      <c r="L27" s="31"/>
      <c r="M27" s="31"/>
      <c r="N27" s="31"/>
      <c r="O27" s="31"/>
      <c r="P27" s="31"/>
      <c r="Q27" s="31"/>
      <c r="R27" s="32">
        <f t="array" ref="R27">D27*E27+F27*G27+H27*I27+J27*K27+L27*M27+N27*O27+P27*Q27</f>
        <v>134</v>
      </c>
      <c r="S27" s="33">
        <f t="array" ref="S27">AVERAGE(E27,G27,I27,K27,M27,O27,Q27)</f>
        <v>8.5</v>
      </c>
      <c r="T27" s="30">
        <v>144</v>
      </c>
      <c r="U27" s="34">
        <v>9</v>
      </c>
      <c r="V27" s="30">
        <v>164</v>
      </c>
      <c r="W27" s="34">
        <v>10</v>
      </c>
      <c r="X27" s="39">
        <v>174</v>
      </c>
      <c r="Y27" s="34">
        <v>10.5</v>
      </c>
      <c r="Z27" s="30">
        <v>164</v>
      </c>
      <c r="AA27" s="34">
        <v>10</v>
      </c>
      <c r="AB27" s="31">
        <v>164</v>
      </c>
      <c r="AC27" s="35">
        <v>10</v>
      </c>
      <c r="AD27" s="31">
        <v>164</v>
      </c>
      <c r="AE27" s="35">
        <v>10</v>
      </c>
      <c r="AF27" s="40">
        <f t="array" ref="AF27">(R27-T27)/T27</f>
        <v>-6.9444444444444448E-2</v>
      </c>
      <c r="AG27" s="36">
        <f t="array" ref="AG27">(S27-U27)/U27</f>
        <v>-5.5555555555555552E-2</v>
      </c>
      <c r="AH27" s="37">
        <f t="array" ref="AH27">MAX(T27,V27,X27,Z27,AB27,AD27)</f>
        <v>174</v>
      </c>
    </row>
    <row r="28" spans="1:34" ht="19.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</row>
    <row r="29" spans="1:34" ht="19.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</row>
    <row r="30" spans="1:34" ht="19.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</row>
    <row r="31" spans="1:34" ht="19.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</row>
    <row r="32" spans="1:34" ht="19.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</row>
    <row r="33" spans="1:34" ht="19.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</row>
    <row r="34" spans="1:34" ht="19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</row>
    <row r="35" spans="1:34" ht="19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</row>
    <row r="36" spans="1:34" ht="19.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</row>
    <row r="37" spans="1:34" ht="19.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</row>
    <row r="38" spans="1:34" ht="19.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</row>
    <row r="39" spans="1:34" ht="19.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</row>
    <row r="40" spans="1:34" ht="19.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</row>
    <row r="41" spans="1:34" ht="19.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</row>
    <row r="42" spans="1:34" ht="19.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</row>
    <row r="43" spans="1:34" ht="19.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</row>
    <row r="44" spans="1:34" ht="19.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</row>
    <row r="45" spans="1:34" ht="19.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</row>
    <row r="46" spans="1:34" ht="19.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</row>
    <row r="47" spans="1:34" ht="19.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</row>
    <row r="48" spans="1:34" ht="19.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</row>
    <row r="49" spans="1:34" ht="19.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</row>
    <row r="50" spans="1:34" ht="19.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</row>
    <row r="51" spans="1:34" ht="19.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</row>
    <row r="52" spans="1:34" ht="19.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</row>
    <row r="53" spans="1:34" ht="19.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</row>
    <row r="54" spans="1:34" ht="19.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</row>
    <row r="55" spans="1:34" ht="19.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</row>
    <row r="56" spans="1:34" ht="19.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</row>
    <row r="57" spans="1:34" ht="19.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</row>
    <row r="58" spans="1:34" ht="19.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</row>
    <row r="59" spans="1:34" ht="19.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</row>
    <row r="60" spans="1:34" ht="19.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</row>
    <row r="61" spans="1:34" ht="19.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</row>
    <row r="62" spans="1:34" ht="19.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</row>
    <row r="63" spans="1:34" ht="19.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</row>
    <row r="64" spans="1:34" ht="19.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</row>
    <row r="65" spans="1:34" ht="19.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</row>
    <row r="66" spans="1:34" ht="19.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</row>
    <row r="67" spans="1:34" ht="19.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</row>
    <row r="68" spans="1:34" ht="19.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</row>
    <row r="69" spans="1:34" ht="19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</row>
    <row r="70" spans="1:34" ht="19.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</row>
    <row r="71" spans="1:34" ht="19.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</row>
    <row r="72" spans="1:34" ht="19.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</row>
    <row r="73" spans="1:34" ht="19.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</row>
    <row r="74" spans="1:34" ht="19.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</row>
    <row r="75" spans="1:34" ht="19.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</row>
    <row r="76" spans="1:34" ht="19.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</row>
    <row r="77" spans="1:34" ht="19.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</row>
    <row r="78" spans="1:34" ht="19.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</row>
    <row r="79" spans="1:34" ht="19.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</row>
    <row r="80" spans="1:34" ht="19.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</row>
    <row r="81" spans="1:34" ht="19.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</row>
    <row r="82" spans="1:34" ht="19.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</row>
    <row r="83" spans="1:34" ht="19.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</row>
    <row r="84" spans="1:34" ht="19.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</row>
    <row r="85" spans="1:34" ht="19.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</row>
    <row r="86" spans="1:34" ht="19.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</row>
    <row r="87" spans="1:34" ht="19.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</row>
    <row r="88" spans="1:34" ht="19.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</row>
    <row r="89" spans="1:34" ht="19.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</row>
    <row r="90" spans="1:34" ht="19.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</row>
    <row r="91" spans="1:34" ht="19.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</row>
    <row r="92" spans="1:34" ht="19.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</row>
    <row r="93" spans="1:34" ht="19.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</row>
    <row r="94" spans="1:34" ht="19.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</row>
    <row r="95" spans="1:34" ht="19.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</row>
    <row r="96" spans="1:34" ht="19.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</row>
    <row r="97" spans="1:34" ht="19.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</row>
    <row r="98" spans="1:34" ht="19.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</row>
    <row r="99" spans="1:34" ht="19.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</row>
    <row r="100" spans="1:34" ht="19.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</row>
    <row r="101" spans="1:34" ht="19.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</row>
    <row r="102" spans="1:34" ht="19.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</row>
    <row r="103" spans="1:34" ht="19.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</row>
    <row r="104" spans="1:34" ht="19.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</row>
    <row r="105" spans="1:34" ht="19.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</row>
    <row r="106" spans="1:34" ht="19.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</row>
    <row r="107" spans="1:34" ht="19.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</row>
    <row r="108" spans="1:34" ht="19.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</row>
    <row r="109" spans="1:34" ht="19.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</row>
    <row r="110" spans="1:34" ht="19.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</row>
    <row r="111" spans="1:34" ht="19.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</row>
    <row r="112" spans="1:34" ht="19.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</row>
    <row r="113" spans="1:34" ht="19.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</row>
    <row r="114" spans="1:34" ht="19.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</row>
    <row r="115" spans="1:34" ht="19.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</row>
    <row r="116" spans="1:34" ht="19.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</row>
    <row r="117" spans="1:34" ht="19.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</row>
    <row r="118" spans="1:34" ht="19.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</row>
    <row r="119" spans="1:34" ht="19.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</row>
    <row r="120" spans="1:34" ht="19.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</row>
    <row r="121" spans="1:34" ht="19.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</row>
    <row r="122" spans="1:34" ht="19.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</row>
    <row r="123" spans="1:34" ht="19.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</row>
    <row r="124" spans="1:34" ht="19.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</row>
    <row r="125" spans="1:34" ht="19.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</row>
    <row r="126" spans="1:34" ht="19.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</row>
    <row r="127" spans="1:34" ht="19.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</row>
    <row r="128" spans="1:34" ht="19.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</row>
    <row r="129" spans="1:34" ht="19.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</row>
    <row r="130" spans="1:34" ht="19.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</row>
    <row r="131" spans="1:34" ht="19.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</row>
    <row r="132" spans="1:34" ht="19.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</row>
    <row r="133" spans="1:34" ht="19.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</row>
    <row r="134" spans="1:34" ht="19.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</row>
    <row r="135" spans="1:34" ht="19.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</row>
    <row r="136" spans="1:34" ht="19.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</row>
    <row r="137" spans="1:34" ht="19.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</row>
    <row r="138" spans="1:34" ht="19.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</row>
    <row r="139" spans="1:34" ht="19.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</row>
    <row r="140" spans="1:34" ht="19.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</row>
    <row r="141" spans="1:34" ht="19.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</row>
    <row r="142" spans="1:34" ht="19.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</row>
    <row r="143" spans="1:34" ht="19.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</row>
    <row r="144" spans="1:34" ht="19.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</row>
    <row r="145" spans="1:34" ht="19.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</row>
    <row r="146" spans="1:34" ht="19.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</row>
    <row r="147" spans="1:34" ht="19.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</row>
    <row r="148" spans="1:34" ht="19.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</row>
    <row r="149" spans="1:34" ht="19.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</row>
    <row r="150" spans="1:34" ht="19.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</row>
    <row r="151" spans="1:34" ht="19.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</row>
    <row r="152" spans="1:34" ht="19.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</row>
    <row r="153" spans="1:34" ht="19.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</row>
    <row r="154" spans="1:34" ht="19.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</row>
    <row r="155" spans="1:34" ht="19.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</row>
    <row r="156" spans="1:34" ht="19.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</row>
    <row r="157" spans="1:34" ht="19.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</row>
    <row r="158" spans="1:34" ht="19.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</row>
    <row r="159" spans="1:34" ht="19.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</row>
    <row r="160" spans="1:34" ht="19.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</row>
    <row r="161" spans="1:34" ht="19.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</row>
    <row r="162" spans="1:34" ht="19.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</row>
    <row r="163" spans="1:34" ht="19.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</row>
    <row r="164" spans="1:34" ht="19.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</row>
    <row r="165" spans="1:34" ht="19.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</row>
    <row r="166" spans="1:34" ht="19.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</row>
    <row r="167" spans="1:34" ht="19.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</row>
    <row r="168" spans="1:34" ht="19.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</row>
    <row r="169" spans="1:34" ht="19.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</row>
    <row r="170" spans="1:34" ht="19.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</row>
    <row r="171" spans="1:34" ht="19.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</row>
    <row r="172" spans="1:34" ht="19.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</row>
    <row r="173" spans="1:34" ht="19.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</row>
    <row r="174" spans="1:34" ht="19.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</row>
    <row r="175" spans="1:34" ht="19.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</row>
    <row r="176" spans="1:34" ht="19.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</row>
    <row r="177" spans="1:34" ht="19.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</row>
    <row r="178" spans="1:34" ht="19.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</row>
    <row r="179" spans="1:34" ht="19.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</row>
    <row r="180" spans="1:34" ht="19.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</row>
    <row r="181" spans="1:34" ht="19.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</row>
    <row r="182" spans="1:34" ht="19.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</row>
    <row r="183" spans="1:34" ht="19.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</row>
    <row r="184" spans="1:34" ht="19.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</row>
    <row r="185" spans="1:34" ht="19.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</row>
    <row r="186" spans="1:34" ht="19.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</row>
    <row r="187" spans="1:34" ht="19.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</row>
    <row r="188" spans="1:34" ht="19.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</row>
    <row r="189" spans="1:34" ht="19.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</row>
    <row r="190" spans="1:34" ht="19.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</row>
    <row r="191" spans="1:34" ht="19.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</row>
    <row r="192" spans="1:34" ht="19.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</row>
    <row r="193" spans="1:34" ht="19.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</row>
    <row r="194" spans="1:34" ht="19.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</row>
    <row r="195" spans="1:34" ht="19.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</row>
    <row r="196" spans="1:34" ht="19.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</row>
    <row r="197" spans="1:34" ht="19.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</row>
    <row r="198" spans="1:34" ht="19.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</row>
    <row r="199" spans="1:34" ht="19.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</row>
    <row r="200" spans="1:34" ht="19.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</row>
    <row r="201" spans="1:34" ht="19.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</row>
    <row r="202" spans="1:34" ht="19.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</row>
    <row r="203" spans="1:34" ht="19.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</row>
    <row r="204" spans="1:34" ht="19.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</row>
    <row r="205" spans="1:34" ht="19.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</row>
    <row r="206" spans="1:34" ht="19.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</row>
    <row r="207" spans="1:34" ht="19.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</row>
    <row r="208" spans="1:34" ht="19.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</row>
    <row r="209" spans="1:34" ht="19.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</row>
    <row r="210" spans="1:34" ht="19.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</row>
    <row r="211" spans="1:34" ht="19.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</row>
    <row r="212" spans="1:34" ht="19.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</row>
    <row r="213" spans="1:34" ht="19.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</row>
    <row r="214" spans="1:34" ht="19.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</row>
    <row r="215" spans="1:34" ht="19.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</row>
    <row r="216" spans="1:34" ht="19.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</row>
    <row r="217" spans="1:34" ht="19.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</row>
    <row r="218" spans="1:34" ht="19.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</row>
    <row r="219" spans="1:34" ht="19.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</row>
    <row r="220" spans="1:34" ht="19.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</row>
    <row r="221" spans="1:34" ht="19.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</row>
    <row r="222" spans="1:34" ht="19.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</row>
    <row r="223" spans="1:34" ht="19.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</row>
    <row r="224" spans="1:34" ht="19.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</row>
    <row r="225" spans="1:34" ht="19.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</row>
    <row r="226" spans="1:34" ht="19.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</row>
    <row r="227" spans="1:34" ht="19.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</row>
    <row r="228" spans="1:34" ht="19.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</row>
    <row r="229" spans="1:34" ht="19.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</row>
    <row r="230" spans="1:34" ht="19.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</row>
    <row r="231" spans="1:34" ht="19.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</row>
    <row r="232" spans="1:34" ht="19.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</row>
    <row r="233" spans="1:34" ht="19.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</row>
    <row r="234" spans="1:34" ht="19.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</row>
    <row r="235" spans="1:34" ht="19.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</row>
    <row r="236" spans="1:34" ht="19.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</row>
    <row r="237" spans="1:34" ht="19.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</row>
    <row r="238" spans="1:34" ht="19.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</row>
    <row r="239" spans="1:34" ht="19.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</row>
    <row r="240" spans="1:34" ht="19.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</row>
    <row r="241" spans="1:34" ht="19.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</row>
    <row r="242" spans="1:34" ht="19.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</row>
    <row r="243" spans="1:34" ht="19.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</row>
    <row r="244" spans="1:34" ht="19.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</row>
    <row r="245" spans="1:34" ht="19.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</row>
    <row r="246" spans="1:34" ht="19.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</row>
    <row r="247" spans="1:34" ht="19.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</row>
    <row r="248" spans="1:34" ht="19.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</row>
    <row r="249" spans="1:34" ht="19.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</row>
    <row r="250" spans="1:34" ht="19.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</row>
    <row r="251" spans="1:34" ht="19.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</row>
    <row r="252" spans="1:34" ht="19.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</row>
    <row r="253" spans="1:34" ht="19.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</row>
    <row r="254" spans="1:34" ht="19.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</row>
    <row r="255" spans="1:34" ht="19.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</row>
    <row r="256" spans="1:34" ht="19.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</row>
    <row r="257" spans="1:34" ht="19.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</row>
    <row r="258" spans="1:34" ht="19.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</row>
    <row r="259" spans="1:34" ht="19.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</row>
    <row r="260" spans="1:34" ht="19.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</row>
    <row r="261" spans="1:34" ht="19.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</row>
    <row r="262" spans="1:34" ht="19.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</row>
    <row r="263" spans="1:34" ht="19.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</row>
    <row r="264" spans="1:34" ht="19.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</row>
    <row r="265" spans="1:34" ht="19.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</row>
    <row r="266" spans="1:34" ht="19.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</row>
    <row r="267" spans="1:34" ht="19.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</row>
    <row r="268" spans="1:34" ht="19.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</row>
    <row r="269" spans="1:34" ht="19.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</row>
    <row r="270" spans="1:34" ht="19.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</row>
    <row r="271" spans="1:34" ht="19.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</row>
    <row r="272" spans="1:34" ht="19.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</row>
    <row r="273" spans="1:34" ht="19.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</row>
    <row r="274" spans="1:34" ht="19.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</row>
    <row r="275" spans="1:34" ht="19.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</row>
    <row r="276" spans="1:34" ht="19.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</row>
    <row r="277" spans="1:34" ht="19.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</row>
    <row r="278" spans="1:34" ht="19.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</row>
    <row r="279" spans="1:34" ht="19.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</row>
    <row r="280" spans="1:34" ht="19.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</row>
    <row r="281" spans="1:34" ht="19.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</row>
    <row r="282" spans="1:34" ht="19.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</row>
    <row r="283" spans="1:34" ht="19.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</row>
    <row r="284" spans="1:34" ht="19.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</row>
    <row r="285" spans="1:34" ht="19.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</row>
    <row r="286" spans="1:34" ht="19.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</row>
    <row r="287" spans="1:34" ht="19.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</row>
    <row r="288" spans="1:34" ht="19.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</row>
    <row r="289" spans="1:34" ht="19.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</row>
    <row r="290" spans="1:34" ht="19.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</row>
    <row r="291" spans="1:34" ht="19.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</row>
    <row r="292" spans="1:34" ht="19.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</row>
    <row r="293" spans="1:34" ht="19.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</row>
    <row r="294" spans="1:34" ht="19.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</row>
    <row r="295" spans="1:34" ht="19.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</row>
    <row r="296" spans="1:34" ht="19.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</row>
    <row r="297" spans="1:34" ht="19.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</row>
    <row r="298" spans="1:34" ht="19.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</row>
    <row r="299" spans="1:34" ht="19.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</row>
    <row r="300" spans="1:34" ht="19.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</row>
    <row r="301" spans="1:34" ht="19.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</row>
    <row r="302" spans="1:34" ht="19.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</row>
    <row r="303" spans="1:34" ht="19.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</row>
    <row r="304" spans="1:34" ht="19.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</row>
    <row r="305" spans="1:34" ht="19.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</row>
    <row r="306" spans="1:34" ht="19.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</row>
    <row r="307" spans="1:34" ht="19.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</row>
    <row r="308" spans="1:34" ht="19.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</row>
    <row r="309" spans="1:34" ht="19.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</row>
    <row r="310" spans="1:34" ht="19.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</row>
    <row r="311" spans="1:34" ht="19.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</row>
    <row r="312" spans="1:34" ht="19.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</row>
    <row r="313" spans="1:34" ht="19.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</row>
    <row r="314" spans="1:34" ht="19.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</row>
    <row r="315" spans="1:34" ht="19.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</row>
    <row r="316" spans="1:34" ht="19.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</row>
    <row r="317" spans="1:34" ht="19.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</row>
    <row r="318" spans="1:34" ht="19.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</row>
    <row r="319" spans="1:34" ht="19.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</row>
    <row r="320" spans="1:34" ht="19.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</row>
    <row r="321" spans="1:34" ht="19.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</row>
    <row r="322" spans="1:34" ht="19.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</row>
    <row r="323" spans="1:34" ht="19.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</row>
    <row r="324" spans="1:34" ht="19.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</row>
    <row r="325" spans="1:34" ht="19.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</row>
    <row r="326" spans="1:34" ht="19.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</row>
    <row r="327" spans="1:34" ht="19.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</row>
    <row r="328" spans="1:34" ht="19.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</row>
    <row r="329" spans="1:34" ht="19.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</row>
    <row r="330" spans="1:34" ht="19.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</row>
    <row r="331" spans="1:34" ht="19.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</row>
    <row r="332" spans="1:34" ht="19.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</row>
    <row r="333" spans="1:34" ht="19.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</row>
    <row r="334" spans="1:34" ht="19.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</row>
    <row r="335" spans="1:34" ht="19.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</row>
    <row r="336" spans="1:34" ht="19.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</row>
    <row r="337" spans="1:34" ht="19.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</row>
    <row r="338" spans="1:34" ht="19.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</row>
    <row r="339" spans="1:34" ht="19.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</row>
    <row r="340" spans="1:34" ht="19.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</row>
    <row r="341" spans="1:34" ht="19.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</row>
    <row r="342" spans="1:34" ht="19.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</row>
    <row r="343" spans="1:34" ht="19.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</row>
    <row r="344" spans="1:34" ht="19.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</row>
    <row r="345" spans="1:34" ht="19.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</row>
    <row r="346" spans="1:34" ht="19.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</row>
    <row r="347" spans="1:34" ht="19.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</row>
    <row r="348" spans="1:34" ht="19.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</row>
    <row r="349" spans="1:34" ht="19.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</row>
    <row r="350" spans="1:34" ht="19.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</row>
    <row r="351" spans="1:34" ht="19.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</row>
    <row r="352" spans="1:34" ht="19.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</row>
    <row r="353" spans="1:34" ht="19.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</row>
    <row r="354" spans="1:34" ht="19.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</row>
    <row r="355" spans="1:34" ht="19.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</row>
    <row r="356" spans="1:34" ht="19.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</row>
    <row r="357" spans="1:34" ht="19.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</row>
    <row r="358" spans="1:34" ht="19.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</row>
    <row r="359" spans="1:34" ht="19.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</row>
    <row r="360" spans="1:34" ht="19.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</row>
    <row r="361" spans="1:34" ht="19.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</row>
    <row r="362" spans="1:34" ht="19.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</row>
    <row r="363" spans="1:34" ht="19.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</row>
    <row r="364" spans="1:34" ht="19.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</row>
    <row r="365" spans="1:34" ht="19.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</row>
    <row r="366" spans="1:34" ht="19.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</row>
    <row r="367" spans="1:34" ht="19.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</row>
    <row r="368" spans="1:34" ht="19.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</row>
    <row r="369" spans="1:34" ht="19.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</row>
    <row r="370" spans="1:34" ht="19.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</row>
    <row r="371" spans="1:34" ht="19.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</row>
    <row r="372" spans="1:34" ht="19.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</row>
    <row r="373" spans="1:34" ht="19.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</row>
    <row r="374" spans="1:34" ht="19.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</row>
    <row r="375" spans="1:34" ht="19.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</row>
    <row r="376" spans="1:34" ht="19.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</row>
    <row r="377" spans="1:34" ht="19.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</row>
    <row r="378" spans="1:34" ht="19.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</row>
    <row r="379" spans="1:34" ht="19.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</row>
    <row r="380" spans="1:34" ht="19.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</row>
    <row r="381" spans="1:34" ht="19.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</row>
    <row r="382" spans="1:34" ht="19.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</row>
    <row r="383" spans="1:34" ht="19.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</row>
    <row r="384" spans="1:34" ht="19.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</row>
    <row r="385" spans="1:34" ht="19.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</row>
    <row r="386" spans="1:34" ht="19.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</row>
    <row r="387" spans="1:34" ht="19.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</row>
    <row r="388" spans="1:34" ht="19.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</row>
    <row r="389" spans="1:34" ht="19.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</row>
    <row r="390" spans="1:34" ht="19.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</row>
    <row r="391" spans="1:34" ht="19.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</row>
    <row r="392" spans="1:34" ht="19.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</row>
    <row r="393" spans="1:34" ht="19.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</row>
    <row r="394" spans="1:34" ht="19.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</row>
    <row r="395" spans="1:34" ht="19.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</row>
    <row r="396" spans="1:34" ht="19.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</row>
    <row r="397" spans="1:34" ht="19.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</row>
    <row r="398" spans="1:34" ht="19.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</row>
    <row r="399" spans="1:34" ht="19.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</row>
    <row r="400" spans="1:34" ht="19.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</row>
    <row r="401" spans="1:34" ht="19.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</row>
    <row r="402" spans="1:34" ht="19.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</row>
    <row r="403" spans="1:34" ht="19.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</row>
    <row r="404" spans="1:34" ht="19.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</row>
    <row r="405" spans="1:34" ht="19.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</row>
    <row r="406" spans="1:34" ht="19.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</row>
    <row r="407" spans="1:34" ht="19.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</row>
    <row r="408" spans="1:34" ht="19.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</row>
    <row r="409" spans="1:34" ht="19.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</row>
    <row r="410" spans="1:34" ht="19.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</row>
    <row r="411" spans="1:34" ht="19.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</row>
    <row r="412" spans="1:34" ht="19.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</row>
    <row r="413" spans="1:34" ht="19.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</row>
    <row r="414" spans="1:34" ht="19.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</row>
    <row r="415" spans="1:34" ht="19.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</row>
    <row r="416" spans="1:34" ht="19.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</row>
    <row r="417" spans="1:34" ht="19.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</row>
    <row r="418" spans="1:34" ht="19.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</row>
    <row r="419" spans="1:34" ht="19.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</row>
    <row r="420" spans="1:34" ht="19.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</row>
    <row r="421" spans="1:34" ht="19.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</row>
    <row r="422" spans="1:34" ht="19.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</row>
    <row r="423" spans="1:34" ht="19.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</row>
    <row r="424" spans="1:34" ht="19.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</row>
    <row r="425" spans="1:34" ht="19.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</row>
    <row r="426" spans="1:34" ht="19.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</row>
    <row r="427" spans="1:34" ht="19.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</row>
    <row r="428" spans="1:34" ht="19.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</row>
    <row r="429" spans="1:34" ht="19.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</row>
    <row r="430" spans="1:34" ht="19.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</row>
    <row r="431" spans="1:34" ht="19.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</row>
    <row r="432" spans="1:34" ht="19.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</row>
    <row r="433" spans="1:34" ht="19.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</row>
    <row r="434" spans="1:34" ht="19.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</row>
    <row r="435" spans="1:34" ht="19.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</row>
    <row r="436" spans="1:34" ht="19.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</row>
    <row r="437" spans="1:34" ht="19.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</row>
    <row r="438" spans="1:34" ht="19.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</row>
    <row r="439" spans="1:34" ht="19.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</row>
    <row r="440" spans="1:34" ht="19.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</row>
    <row r="441" spans="1:34" ht="19.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</row>
    <row r="442" spans="1:34" ht="19.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</row>
    <row r="443" spans="1:34" ht="19.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</row>
    <row r="444" spans="1:34" ht="19.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</row>
    <row r="445" spans="1:34" ht="19.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</row>
    <row r="446" spans="1:34" ht="19.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</row>
    <row r="447" spans="1:34" ht="19.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</row>
    <row r="448" spans="1:34" ht="19.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</row>
    <row r="449" spans="1:34" ht="19.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</row>
    <row r="450" spans="1:34" ht="19.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</row>
    <row r="451" spans="1:34" ht="19.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</row>
    <row r="452" spans="1:34" ht="19.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</row>
    <row r="453" spans="1:34" ht="19.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</row>
    <row r="454" spans="1:34" ht="19.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</row>
    <row r="455" spans="1:34" ht="19.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</row>
    <row r="456" spans="1:34" ht="19.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</row>
    <row r="457" spans="1:34" ht="19.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</row>
    <row r="458" spans="1:34" ht="19.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</row>
    <row r="459" spans="1:34" ht="19.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</row>
    <row r="460" spans="1:34" ht="19.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</row>
    <row r="461" spans="1:34" ht="19.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</row>
    <row r="462" spans="1:34" ht="19.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</row>
    <row r="463" spans="1:34" ht="19.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</row>
    <row r="464" spans="1:34" ht="19.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</row>
    <row r="465" spans="1:34" ht="19.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</row>
    <row r="466" spans="1:34" ht="19.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</row>
    <row r="467" spans="1:34" ht="19.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</row>
    <row r="468" spans="1:34" ht="19.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</row>
    <row r="469" spans="1:34" ht="19.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</row>
    <row r="470" spans="1:34" ht="19.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</row>
    <row r="471" spans="1:34" ht="19.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</row>
    <row r="472" spans="1:34" ht="19.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</row>
    <row r="473" spans="1:34" ht="19.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</row>
    <row r="474" spans="1:34" ht="19.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</row>
    <row r="475" spans="1:34" ht="19.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</row>
    <row r="476" spans="1:34" ht="19.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</row>
    <row r="477" spans="1:34" ht="19.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</row>
    <row r="478" spans="1:34" ht="19.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</row>
    <row r="479" spans="1:34" ht="19.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</row>
    <row r="480" spans="1:34" ht="19.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</row>
    <row r="481" spans="1:34" ht="19.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</row>
    <row r="482" spans="1:34" ht="19.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</row>
    <row r="483" spans="1:34" ht="19.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</row>
    <row r="484" spans="1:34" ht="19.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</row>
    <row r="485" spans="1:34" ht="19.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</row>
    <row r="486" spans="1:34" ht="19.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</row>
    <row r="487" spans="1:34" ht="19.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</row>
    <row r="488" spans="1:34" ht="19.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</row>
    <row r="489" spans="1:34" ht="19.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</row>
    <row r="490" spans="1:34" ht="19.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</row>
    <row r="491" spans="1:34" ht="19.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</row>
    <row r="492" spans="1:34" ht="19.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</row>
    <row r="493" spans="1:34" ht="19.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</row>
    <row r="494" spans="1:34" ht="19.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</row>
    <row r="495" spans="1:34" ht="19.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</row>
    <row r="496" spans="1:34" ht="19.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</row>
    <row r="497" spans="1:34" ht="19.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</row>
    <row r="498" spans="1:34" ht="19.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</row>
    <row r="499" spans="1:34" ht="19.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</row>
    <row r="500" spans="1:34" ht="19.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</row>
    <row r="501" spans="1:34" ht="19.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</row>
    <row r="502" spans="1:34" ht="19.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</row>
    <row r="503" spans="1:34" ht="19.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</row>
    <row r="504" spans="1:34" ht="19.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</row>
    <row r="505" spans="1:34" ht="19.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</row>
    <row r="506" spans="1:34" ht="19.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</row>
    <row r="507" spans="1:34" ht="19.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</row>
    <row r="508" spans="1:34" ht="19.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</row>
    <row r="509" spans="1:34" ht="19.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</row>
    <row r="510" spans="1:34" ht="19.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</row>
    <row r="511" spans="1:34" ht="19.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</row>
    <row r="512" spans="1:34" ht="19.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</row>
    <row r="513" spans="1:34" ht="19.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</row>
    <row r="514" spans="1:34" ht="19.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</row>
    <row r="515" spans="1:34" ht="19.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</row>
    <row r="516" spans="1:34" ht="19.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</row>
    <row r="517" spans="1:34" ht="19.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</row>
    <row r="518" spans="1:34" ht="19.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</row>
    <row r="519" spans="1:34" ht="19.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</row>
    <row r="520" spans="1:34" ht="19.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</row>
    <row r="521" spans="1:34" ht="19.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</row>
    <row r="522" spans="1:34" ht="19.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</row>
    <row r="523" spans="1:34" ht="19.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</row>
    <row r="524" spans="1:34" ht="19.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</row>
    <row r="525" spans="1:34" ht="19.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</row>
    <row r="526" spans="1:34" ht="19.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</row>
    <row r="527" spans="1:34" ht="19.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</row>
    <row r="528" spans="1:34" ht="19.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</row>
    <row r="529" spans="1:34" ht="19.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</row>
    <row r="530" spans="1:34" ht="19.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</row>
    <row r="531" spans="1:34" ht="19.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</row>
    <row r="532" spans="1:34" ht="19.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</row>
    <row r="533" spans="1:34" ht="19.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</row>
    <row r="534" spans="1:34" ht="19.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</row>
    <row r="535" spans="1:34" ht="19.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</row>
    <row r="536" spans="1:34" ht="19.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</row>
    <row r="537" spans="1:34" ht="19.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</row>
    <row r="538" spans="1:34" ht="19.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</row>
    <row r="539" spans="1:34" ht="19.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</row>
    <row r="540" spans="1:34" ht="19.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</row>
    <row r="541" spans="1:34" ht="19.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</row>
    <row r="542" spans="1:34" ht="19.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</row>
    <row r="543" spans="1:34" ht="19.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</row>
    <row r="544" spans="1:34" ht="19.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</row>
    <row r="545" spans="1:34" ht="19.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</row>
    <row r="546" spans="1:34" ht="19.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</row>
    <row r="547" spans="1:34" ht="19.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</row>
    <row r="548" spans="1:34" ht="19.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</row>
    <row r="549" spans="1:34" ht="19.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</row>
    <row r="550" spans="1:34" ht="19.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</row>
    <row r="551" spans="1:34" ht="19.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</row>
    <row r="552" spans="1:34" ht="19.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</row>
    <row r="553" spans="1:34" ht="19.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</row>
    <row r="554" spans="1:34" ht="19.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</row>
    <row r="555" spans="1:34" ht="19.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</row>
    <row r="556" spans="1:34" ht="19.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</row>
    <row r="557" spans="1:34" ht="19.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</row>
    <row r="558" spans="1:34" ht="19.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</row>
    <row r="559" spans="1:34" ht="19.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</row>
    <row r="560" spans="1:34" ht="19.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</row>
    <row r="561" spans="1:34" ht="19.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</row>
    <row r="562" spans="1:34" ht="19.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</row>
    <row r="563" spans="1:34" ht="19.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</row>
    <row r="564" spans="1:34" ht="19.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</row>
    <row r="565" spans="1:34" ht="19.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</row>
    <row r="566" spans="1:34" ht="19.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</row>
    <row r="567" spans="1:34" ht="19.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</row>
    <row r="568" spans="1:34" ht="19.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</row>
    <row r="569" spans="1:34" ht="19.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</row>
    <row r="570" spans="1:34" ht="19.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</row>
    <row r="571" spans="1:34" ht="19.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</row>
    <row r="572" spans="1:34" ht="19.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</row>
    <row r="573" spans="1:34" ht="19.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</row>
    <row r="574" spans="1:34" ht="19.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</row>
    <row r="575" spans="1:34" ht="19.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</row>
    <row r="576" spans="1:34" ht="19.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</row>
    <row r="577" spans="1:34" ht="19.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</row>
    <row r="578" spans="1:34" ht="19.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</row>
    <row r="579" spans="1:34" ht="19.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</row>
    <row r="580" spans="1:34" ht="19.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</row>
    <row r="581" spans="1:34" ht="19.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</row>
    <row r="582" spans="1:34" ht="19.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</row>
    <row r="583" spans="1:34" ht="19.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</row>
    <row r="584" spans="1:34" ht="19.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</row>
    <row r="585" spans="1:34" ht="19.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</row>
    <row r="586" spans="1:34" ht="19.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</row>
    <row r="587" spans="1:34" ht="19.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</row>
    <row r="588" spans="1:34" ht="19.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</row>
    <row r="589" spans="1:34" ht="19.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</row>
    <row r="590" spans="1:34" ht="19.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</row>
    <row r="591" spans="1:34" ht="19.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</row>
    <row r="592" spans="1:34" ht="19.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</row>
    <row r="593" spans="1:34" ht="19.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</row>
    <row r="594" spans="1:34" ht="19.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</row>
    <row r="595" spans="1:34" ht="19.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</row>
    <row r="596" spans="1:34" ht="19.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</row>
    <row r="597" spans="1:34" ht="19.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</row>
    <row r="598" spans="1:34" ht="19.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</row>
    <row r="599" spans="1:34" ht="19.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</row>
    <row r="600" spans="1:34" ht="19.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</row>
    <row r="601" spans="1:34" ht="19.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</row>
    <row r="602" spans="1:34" ht="19.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</row>
    <row r="603" spans="1:34" ht="19.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</row>
    <row r="604" spans="1:34" ht="19.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</row>
    <row r="605" spans="1:34" ht="19.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</row>
    <row r="606" spans="1:34" ht="19.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</row>
    <row r="607" spans="1:34" ht="19.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</row>
    <row r="608" spans="1:34" ht="19.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</row>
    <row r="609" spans="1:34" ht="19.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</row>
    <row r="610" spans="1:34" ht="19.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</row>
    <row r="611" spans="1:34" ht="19.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</row>
    <row r="612" spans="1:34" ht="19.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</row>
    <row r="613" spans="1:34" ht="19.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</row>
    <row r="614" spans="1:34" ht="19.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</row>
    <row r="615" spans="1:34" ht="19.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</row>
    <row r="616" spans="1:34" ht="19.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</row>
    <row r="617" spans="1:34" ht="19.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</row>
    <row r="618" spans="1:34" ht="19.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</row>
    <row r="619" spans="1:34" ht="19.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</row>
    <row r="620" spans="1:34" ht="19.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</row>
    <row r="621" spans="1:34" ht="19.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</row>
    <row r="622" spans="1:34" ht="19.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</row>
    <row r="623" spans="1:34" ht="19.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</row>
    <row r="624" spans="1:34" ht="19.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</row>
    <row r="625" spans="1:34" ht="19.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</row>
    <row r="626" spans="1:34" ht="19.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</row>
    <row r="627" spans="1:34" ht="19.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</row>
    <row r="628" spans="1:34" ht="19.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</row>
    <row r="629" spans="1:34" ht="19.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</row>
    <row r="630" spans="1:34" ht="19.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</row>
    <row r="631" spans="1:34" ht="19.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</row>
    <row r="632" spans="1:34" ht="19.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</row>
    <row r="633" spans="1:34" ht="19.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</row>
    <row r="634" spans="1:34" ht="19.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</row>
    <row r="635" spans="1:34" ht="19.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</row>
    <row r="636" spans="1:34" ht="19.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</row>
    <row r="637" spans="1:34" ht="19.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</row>
    <row r="638" spans="1:34" ht="19.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</row>
    <row r="639" spans="1:34" ht="19.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</row>
    <row r="640" spans="1:34" ht="19.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</row>
    <row r="641" spans="1:34" ht="19.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</row>
    <row r="642" spans="1:34" ht="19.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</row>
    <row r="643" spans="1:34" ht="19.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</row>
    <row r="644" spans="1:34" ht="19.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</row>
    <row r="645" spans="1:34" ht="19.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</row>
    <row r="646" spans="1:34" ht="19.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</row>
    <row r="647" spans="1:34" ht="19.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</row>
    <row r="648" spans="1:34" ht="19.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</row>
    <row r="649" spans="1:34" ht="19.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</row>
    <row r="650" spans="1:34" ht="19.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</row>
    <row r="651" spans="1:34" ht="19.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</row>
    <row r="652" spans="1:34" ht="19.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</row>
    <row r="653" spans="1:34" ht="19.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</row>
    <row r="654" spans="1:34" ht="19.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</row>
    <row r="655" spans="1:34" ht="19.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</row>
    <row r="656" spans="1:34" ht="19.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</row>
    <row r="657" spans="1:34" ht="19.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</row>
    <row r="658" spans="1:34" ht="19.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</row>
    <row r="659" spans="1:34" ht="19.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</row>
    <row r="660" spans="1:34" ht="19.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</row>
    <row r="661" spans="1:34" ht="19.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</row>
    <row r="662" spans="1:34" ht="19.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</row>
    <row r="663" spans="1:34" ht="19.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</row>
    <row r="664" spans="1:34" ht="19.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</row>
    <row r="665" spans="1:34" ht="19.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</row>
    <row r="666" spans="1:34" ht="19.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</row>
    <row r="667" spans="1:34" ht="19.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</row>
    <row r="668" spans="1:34" ht="19.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</row>
    <row r="669" spans="1:34" ht="19.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</row>
    <row r="670" spans="1:34" ht="19.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</row>
    <row r="671" spans="1:34" ht="19.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</row>
    <row r="672" spans="1:34" ht="19.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</row>
    <row r="673" spans="1:34" ht="19.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</row>
    <row r="674" spans="1:34" ht="19.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</row>
    <row r="675" spans="1:34" ht="19.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</row>
    <row r="676" spans="1:34" ht="19.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</row>
    <row r="677" spans="1:34" ht="19.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</row>
    <row r="678" spans="1:34" ht="19.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</row>
    <row r="679" spans="1:34" ht="19.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</row>
    <row r="680" spans="1:34" ht="19.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</row>
    <row r="681" spans="1:34" ht="19.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</row>
    <row r="682" spans="1:34" ht="19.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</row>
    <row r="683" spans="1:34" ht="19.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</row>
    <row r="684" spans="1:34" ht="19.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</row>
    <row r="685" spans="1:34" ht="19.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</row>
    <row r="686" spans="1:34" ht="19.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</row>
    <row r="687" spans="1:34" ht="19.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</row>
    <row r="688" spans="1:34" ht="19.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</row>
    <row r="689" spans="1:34" ht="19.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</row>
    <row r="690" spans="1:34" ht="19.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</row>
    <row r="691" spans="1:34" ht="19.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</row>
    <row r="692" spans="1:34" ht="19.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</row>
    <row r="693" spans="1:34" ht="19.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</row>
    <row r="694" spans="1:34" ht="19.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</row>
    <row r="695" spans="1:34" ht="19.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</row>
    <row r="696" spans="1:34" ht="19.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</row>
    <row r="697" spans="1:34" ht="19.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</row>
    <row r="698" spans="1:34" ht="19.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</row>
    <row r="699" spans="1:34" ht="19.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</row>
    <row r="700" spans="1:34" ht="19.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</row>
    <row r="701" spans="1:34" ht="19.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</row>
    <row r="702" spans="1:34" ht="19.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</row>
    <row r="703" spans="1:34" ht="19.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</row>
    <row r="704" spans="1:34" ht="19.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</row>
    <row r="705" spans="1:34" ht="19.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</row>
    <row r="706" spans="1:34" ht="19.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</row>
    <row r="707" spans="1:34" ht="19.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</row>
    <row r="708" spans="1:34" ht="19.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</row>
    <row r="709" spans="1:34" ht="19.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</row>
    <row r="710" spans="1:34" ht="19.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</row>
    <row r="711" spans="1:34" ht="19.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</row>
    <row r="712" spans="1:34" ht="19.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</row>
    <row r="713" spans="1:34" ht="19.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</row>
    <row r="714" spans="1:34" ht="19.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</row>
    <row r="715" spans="1:34" ht="19.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</row>
    <row r="716" spans="1:34" ht="19.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</row>
    <row r="717" spans="1:34" ht="19.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</row>
    <row r="718" spans="1:34" ht="19.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</row>
    <row r="719" spans="1:34" ht="19.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</row>
    <row r="720" spans="1:34" ht="19.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</row>
    <row r="721" spans="1:34" ht="19.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</row>
    <row r="722" spans="1:34" ht="19.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</row>
    <row r="723" spans="1:34" ht="19.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</row>
    <row r="724" spans="1:34" ht="19.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</row>
    <row r="725" spans="1:34" ht="19.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</row>
    <row r="726" spans="1:34" ht="19.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</row>
    <row r="727" spans="1:34" ht="19.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</row>
    <row r="728" spans="1:34" ht="19.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</row>
    <row r="729" spans="1:34" ht="19.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</row>
    <row r="730" spans="1:34" ht="19.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</row>
    <row r="731" spans="1:34" ht="19.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</row>
    <row r="732" spans="1:34" ht="19.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</row>
    <row r="733" spans="1:34" ht="19.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</row>
    <row r="734" spans="1:34" ht="19.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</row>
    <row r="735" spans="1:34" ht="19.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</row>
    <row r="736" spans="1:34" ht="19.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</row>
    <row r="737" spans="1:34" ht="19.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</row>
    <row r="738" spans="1:34" ht="19.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</row>
    <row r="739" spans="1:34" ht="19.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</row>
    <row r="740" spans="1:34" ht="19.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</row>
    <row r="741" spans="1:34" ht="19.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</row>
    <row r="742" spans="1:34" ht="19.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</row>
    <row r="743" spans="1:34" ht="19.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</row>
    <row r="744" spans="1:34" ht="19.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</row>
    <row r="745" spans="1:34" ht="19.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</row>
    <row r="746" spans="1:34" ht="19.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</row>
    <row r="747" spans="1:34" ht="19.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</row>
    <row r="748" spans="1:34" ht="19.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</row>
    <row r="749" spans="1:34" ht="19.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</row>
    <row r="750" spans="1:34" ht="19.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</row>
    <row r="751" spans="1:34" ht="19.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</row>
    <row r="752" spans="1:34" ht="19.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</row>
    <row r="753" spans="1:34" ht="19.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</row>
    <row r="754" spans="1:34" ht="19.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</row>
    <row r="755" spans="1:34" ht="19.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</row>
    <row r="756" spans="1:34" ht="19.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</row>
    <row r="757" spans="1:34" ht="19.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</row>
    <row r="758" spans="1:34" ht="19.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</row>
    <row r="759" spans="1:34" ht="19.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</row>
    <row r="760" spans="1:34" ht="19.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</row>
    <row r="761" spans="1:34" ht="19.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</row>
    <row r="762" spans="1:34" ht="19.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</row>
    <row r="763" spans="1:34" ht="19.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</row>
    <row r="764" spans="1:34" ht="19.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</row>
    <row r="765" spans="1:34" ht="19.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</row>
    <row r="766" spans="1:34" ht="19.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</row>
    <row r="767" spans="1:34" ht="19.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</row>
    <row r="768" spans="1:34" ht="19.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</row>
    <row r="769" spans="1:34" ht="19.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</row>
    <row r="770" spans="1:34" ht="19.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</row>
    <row r="771" spans="1:34" ht="19.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</row>
    <row r="772" spans="1:34" ht="19.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</row>
    <row r="773" spans="1:34" ht="19.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</row>
    <row r="774" spans="1:34" ht="19.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</row>
    <row r="775" spans="1:34" ht="19.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</row>
    <row r="776" spans="1:34" ht="19.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</row>
    <row r="777" spans="1:34" ht="19.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</row>
    <row r="778" spans="1:34" ht="19.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</row>
    <row r="779" spans="1:34" ht="19.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</row>
    <row r="780" spans="1:34" ht="19.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</row>
    <row r="781" spans="1:34" ht="19.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</row>
    <row r="782" spans="1:34" ht="19.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</row>
    <row r="783" spans="1:34" ht="19.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</row>
    <row r="784" spans="1:34" ht="19.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</row>
    <row r="785" spans="1:34" ht="19.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</row>
    <row r="786" spans="1:34" ht="19.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</row>
    <row r="787" spans="1:34" ht="19.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</row>
    <row r="788" spans="1:34" ht="19.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</row>
    <row r="789" spans="1:34" ht="19.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</row>
    <row r="790" spans="1:34" ht="19.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</row>
    <row r="791" spans="1:34" ht="19.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</row>
    <row r="792" spans="1:34" ht="19.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</row>
    <row r="793" spans="1:34" ht="19.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</row>
    <row r="794" spans="1:34" ht="19.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</row>
    <row r="795" spans="1:34" ht="19.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</row>
    <row r="796" spans="1:34" ht="19.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</row>
    <row r="797" spans="1:34" ht="19.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</row>
    <row r="798" spans="1:34" ht="19.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</row>
    <row r="799" spans="1:34" ht="19.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</row>
    <row r="800" spans="1:34" ht="19.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</row>
    <row r="801" spans="1:34" ht="19.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</row>
    <row r="802" spans="1:34" ht="19.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</row>
    <row r="803" spans="1:34" ht="19.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</row>
    <row r="804" spans="1:34" ht="19.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</row>
    <row r="805" spans="1:34" ht="19.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</row>
    <row r="806" spans="1:34" ht="19.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</row>
    <row r="807" spans="1:34" ht="19.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</row>
    <row r="808" spans="1:34" ht="19.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</row>
    <row r="809" spans="1:34" ht="19.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</row>
    <row r="810" spans="1:34" ht="19.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</row>
    <row r="811" spans="1:34" ht="19.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</row>
    <row r="812" spans="1:34" ht="19.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</row>
    <row r="813" spans="1:34" ht="19.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</row>
    <row r="814" spans="1:34" ht="19.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</row>
    <row r="815" spans="1:34" ht="19.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</row>
    <row r="816" spans="1:34" ht="19.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</row>
    <row r="817" spans="1:34" ht="19.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</row>
    <row r="818" spans="1:34" ht="19.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</row>
    <row r="819" spans="1:34" ht="19.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</row>
    <row r="820" spans="1:34" ht="19.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</row>
    <row r="821" spans="1:34" ht="19.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</row>
    <row r="822" spans="1:34" ht="19.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</row>
    <row r="823" spans="1:34" ht="19.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</row>
    <row r="824" spans="1:34" ht="19.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</row>
    <row r="825" spans="1:34" ht="19.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</row>
    <row r="826" spans="1:34" ht="19.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</row>
    <row r="827" spans="1:34" ht="19.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</row>
    <row r="828" spans="1:34" ht="19.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</row>
    <row r="829" spans="1:34" ht="19.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</row>
    <row r="830" spans="1:34" ht="19.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</row>
    <row r="831" spans="1:34" ht="19.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</row>
    <row r="832" spans="1:34" ht="19.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</row>
    <row r="833" spans="1:34" ht="19.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</row>
    <row r="834" spans="1:34" ht="19.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</row>
    <row r="835" spans="1:34" ht="19.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</row>
    <row r="836" spans="1:34" ht="19.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</row>
    <row r="837" spans="1:34" ht="19.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</row>
    <row r="838" spans="1:34" ht="19.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</row>
    <row r="839" spans="1:34" ht="19.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</row>
    <row r="840" spans="1:34" ht="19.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</row>
    <row r="841" spans="1:34" ht="19.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</row>
    <row r="842" spans="1:34" ht="19.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</row>
    <row r="843" spans="1:34" ht="19.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</row>
    <row r="844" spans="1:34" ht="19.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</row>
    <row r="845" spans="1:34" ht="19.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</row>
    <row r="846" spans="1:34" ht="19.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</row>
    <row r="847" spans="1:34" ht="19.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</row>
    <row r="848" spans="1:34" ht="19.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</row>
    <row r="849" spans="1:34" ht="19.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</row>
    <row r="850" spans="1:34" ht="19.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</row>
    <row r="851" spans="1:34" ht="19.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</row>
    <row r="852" spans="1:34" ht="19.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</row>
    <row r="853" spans="1:34" ht="19.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</row>
    <row r="854" spans="1:34" ht="19.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</row>
    <row r="855" spans="1:34" ht="19.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</row>
    <row r="856" spans="1:34" ht="19.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</row>
    <row r="857" spans="1:34" ht="19.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</row>
    <row r="858" spans="1:34" ht="19.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</row>
    <row r="859" spans="1:34" ht="19.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</row>
    <row r="860" spans="1:34" ht="19.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</row>
    <row r="861" spans="1:34" ht="19.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</row>
    <row r="862" spans="1:34" ht="19.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</row>
    <row r="863" spans="1:34" ht="19.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</row>
    <row r="864" spans="1:34" ht="19.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</row>
    <row r="865" spans="1:34" ht="19.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</row>
    <row r="866" spans="1:34" ht="19.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</row>
    <row r="867" spans="1:34" ht="19.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</row>
    <row r="868" spans="1:34" ht="19.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</row>
    <row r="869" spans="1:34" ht="19.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</row>
    <row r="870" spans="1:34" ht="19.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</row>
    <row r="871" spans="1:34" ht="19.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</row>
    <row r="872" spans="1:34" ht="19.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</row>
    <row r="873" spans="1:34" ht="19.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</row>
    <row r="874" spans="1:34" ht="19.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</row>
    <row r="875" spans="1:34" ht="19.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</row>
    <row r="876" spans="1:34" ht="19.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</row>
    <row r="877" spans="1:34" ht="19.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</row>
    <row r="878" spans="1:34" ht="19.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</row>
    <row r="879" spans="1:34" ht="19.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</row>
    <row r="880" spans="1:34" ht="19.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</row>
    <row r="881" spans="1:34" ht="19.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</row>
    <row r="882" spans="1:34" ht="19.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</row>
    <row r="883" spans="1:34" ht="19.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</row>
    <row r="884" spans="1:34" ht="19.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</row>
    <row r="885" spans="1:34" ht="19.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</row>
    <row r="886" spans="1:34" ht="19.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</row>
    <row r="887" spans="1:34" ht="19.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</row>
    <row r="888" spans="1:34" ht="19.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</row>
    <row r="889" spans="1:34" ht="19.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</row>
    <row r="890" spans="1:34" ht="19.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</row>
    <row r="891" spans="1:34" ht="19.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</row>
    <row r="892" spans="1:34" ht="19.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</row>
    <row r="893" spans="1:34" ht="19.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</row>
    <row r="894" spans="1:34" ht="19.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</row>
    <row r="895" spans="1:34" ht="19.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</row>
    <row r="896" spans="1:34" ht="19.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</row>
    <row r="897" spans="1:34" ht="19.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</row>
    <row r="898" spans="1:34" ht="19.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</row>
    <row r="899" spans="1:34" ht="19.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</row>
    <row r="900" spans="1:34" ht="19.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</row>
    <row r="901" spans="1:34" ht="19.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</row>
    <row r="902" spans="1:34" ht="19.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</row>
    <row r="903" spans="1:34" ht="19.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</row>
    <row r="904" spans="1:34" ht="19.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</row>
    <row r="905" spans="1:34" ht="19.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</row>
    <row r="906" spans="1:34" ht="19.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</row>
    <row r="907" spans="1:34" ht="19.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</row>
    <row r="908" spans="1:34" ht="19.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</row>
    <row r="909" spans="1:34" ht="19.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</row>
    <row r="910" spans="1:34" ht="19.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</row>
    <row r="911" spans="1:34" ht="19.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</row>
    <row r="912" spans="1:34" ht="19.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</row>
    <row r="913" spans="1:34" ht="19.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</row>
    <row r="914" spans="1:34" ht="19.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</row>
    <row r="915" spans="1:34" ht="19.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</row>
    <row r="916" spans="1:34" ht="19.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</row>
    <row r="917" spans="1:34" ht="19.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</row>
    <row r="918" spans="1:34" ht="19.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</row>
    <row r="919" spans="1:34" ht="19.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</row>
    <row r="920" spans="1:34" ht="19.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</row>
    <row r="921" spans="1:34" ht="19.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</row>
    <row r="922" spans="1:34" ht="19.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</row>
    <row r="923" spans="1:34" ht="19.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</row>
    <row r="924" spans="1:34" ht="19.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</row>
    <row r="925" spans="1:34" ht="19.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</row>
    <row r="926" spans="1:34" ht="19.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</row>
    <row r="927" spans="1:34" ht="19.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</row>
    <row r="928" spans="1:34" ht="19.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</row>
    <row r="929" spans="1:34" ht="19.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</row>
    <row r="930" spans="1:34" ht="19.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</row>
    <row r="931" spans="1:34" ht="19.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</row>
    <row r="932" spans="1:34" ht="19.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</row>
    <row r="933" spans="1:34" ht="19.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</row>
    <row r="934" spans="1:34" ht="19.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</row>
    <row r="935" spans="1:34" ht="19.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</row>
    <row r="936" spans="1:34" ht="19.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</row>
    <row r="937" spans="1:34" ht="19.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</row>
    <row r="938" spans="1:34" ht="19.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</row>
    <row r="939" spans="1:34" ht="19.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</row>
    <row r="940" spans="1:34" ht="19.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</row>
    <row r="941" spans="1:34" ht="19.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</row>
    <row r="942" spans="1:34" ht="19.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</row>
    <row r="943" spans="1:34" ht="19.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</row>
    <row r="944" spans="1:34" ht="19.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</row>
    <row r="945" spans="1:34" ht="19.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</row>
    <row r="946" spans="1:34" ht="19.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</row>
    <row r="947" spans="1:34" ht="19.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</row>
    <row r="948" spans="1:34" ht="19.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</row>
    <row r="949" spans="1:34" ht="19.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</row>
    <row r="950" spans="1:34" ht="19.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</row>
    <row r="951" spans="1:34" ht="19.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</row>
    <row r="952" spans="1:34" ht="19.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</row>
    <row r="953" spans="1:34" ht="19.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</row>
    <row r="954" spans="1:34" ht="19.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</row>
    <row r="955" spans="1:34" ht="19.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</row>
    <row r="956" spans="1:34" ht="19.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</row>
    <row r="957" spans="1:34" ht="19.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</row>
    <row r="958" spans="1:34" ht="19.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</row>
    <row r="959" spans="1:34" ht="19.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</row>
    <row r="960" spans="1:34" ht="19.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</row>
    <row r="961" spans="1:34" ht="19.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</row>
    <row r="962" spans="1:34" ht="19.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</row>
    <row r="963" spans="1:34" ht="19.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</row>
    <row r="964" spans="1:34" ht="19.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</row>
    <row r="965" spans="1:34" ht="19.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</row>
    <row r="966" spans="1:34" ht="19.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</row>
    <row r="967" spans="1:34" ht="19.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</row>
    <row r="968" spans="1:34" ht="19.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</row>
    <row r="969" spans="1:34" ht="19.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</row>
    <row r="970" spans="1:34" ht="19.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</row>
    <row r="971" spans="1:34" ht="19.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</row>
    <row r="972" spans="1:34" ht="19.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</row>
    <row r="973" spans="1:34" ht="19.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</row>
    <row r="974" spans="1:34" ht="19.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</row>
    <row r="975" spans="1:34" ht="19.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</row>
    <row r="976" spans="1:34" ht="19.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</row>
    <row r="977" spans="1:34" ht="19.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</row>
    <row r="978" spans="1:34" ht="19.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</row>
    <row r="979" spans="1:34" ht="19.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</row>
    <row r="980" spans="1:34" ht="19.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</row>
    <row r="981" spans="1:34" ht="19.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</row>
    <row r="982" spans="1:34" ht="19.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</row>
    <row r="983" spans="1:34" ht="19.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</row>
    <row r="984" spans="1:34" ht="19.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</row>
    <row r="985" spans="1:34" ht="19.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</row>
    <row r="986" spans="1:34" ht="19.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</row>
    <row r="987" spans="1:34" ht="19.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</row>
    <row r="988" spans="1:34" ht="19.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</row>
    <row r="989" spans="1:34" ht="19.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</row>
    <row r="990" spans="1:34" ht="19.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</row>
    <row r="991" spans="1:34" ht="19.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</row>
    <row r="992" spans="1:34" ht="19.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</row>
    <row r="993" spans="1:34" ht="19.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</row>
    <row r="994" spans="1:34" ht="19.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</row>
    <row r="995" spans="1:34" ht="19.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</row>
    <row r="996" spans="1:34" ht="19.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</row>
    <row r="997" spans="1:34" ht="19.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</row>
    <row r="998" spans="1:34" ht="19.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</row>
    <row r="999" spans="1:34" ht="19.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</row>
    <row r="1000" spans="1:34" ht="19.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</row>
  </sheetData>
  <mergeCells count="23">
    <mergeCell ref="Z3:AA3"/>
    <mergeCell ref="AB3:AC3"/>
    <mergeCell ref="AD3:AE3"/>
    <mergeCell ref="R3:R4"/>
    <mergeCell ref="S3:S4"/>
    <mergeCell ref="T3:U3"/>
    <mergeCell ref="V3:W3"/>
    <mergeCell ref="X3:Y3"/>
    <mergeCell ref="AF3:AG3"/>
    <mergeCell ref="B10:AG10"/>
    <mergeCell ref="B16:AG16"/>
    <mergeCell ref="B22:AG22"/>
    <mergeCell ref="A2:R2"/>
    <mergeCell ref="T2:AF2"/>
    <mergeCell ref="A3:A4"/>
    <mergeCell ref="B3:C3"/>
    <mergeCell ref="D3:E3"/>
    <mergeCell ref="F3:G3"/>
    <mergeCell ref="H3:I3"/>
    <mergeCell ref="J3:K3"/>
    <mergeCell ref="L3:M3"/>
    <mergeCell ref="N3:O3"/>
    <mergeCell ref="P3:Q3"/>
  </mergeCells>
  <conditionalFormatting sqref="T5:T9 T17:T21 T23:T27">
    <cfRule type="cellIs" dxfId="19" priority="1" stopIfTrue="1" operator="equal">
      <formula>AH5</formula>
    </cfRule>
  </conditionalFormatting>
  <conditionalFormatting sqref="T11:T15">
    <cfRule type="cellIs" dxfId="18" priority="7" stopIfTrue="1" operator="equal">
      <formula>AH11</formula>
    </cfRule>
  </conditionalFormatting>
  <conditionalFormatting sqref="V5:V9 V11:V15 V17:V21 V23:V27">
    <cfRule type="cellIs" dxfId="17" priority="2" stopIfTrue="1" operator="equal">
      <formula>AH5</formula>
    </cfRule>
  </conditionalFormatting>
  <conditionalFormatting sqref="X5:X9 X11:X15 X17:X21 X23:X27">
    <cfRule type="cellIs" dxfId="16" priority="3" stopIfTrue="1" operator="equal">
      <formula>AH5</formula>
    </cfRule>
  </conditionalFormatting>
  <conditionalFormatting sqref="Z5:Z9 Z11:Z15 Z17:Z21 Z23:Z27">
    <cfRule type="cellIs" dxfId="15" priority="4" stopIfTrue="1" operator="equal">
      <formula>AH5</formula>
    </cfRule>
  </conditionalFormatting>
  <conditionalFormatting sqref="AB5:AB9 AB11:AB15 AB17:AB21 AB23:AB27">
    <cfRule type="cellIs" dxfId="14" priority="5" stopIfTrue="1" operator="equal">
      <formula>AH5</formula>
    </cfRule>
  </conditionalFormatting>
  <conditionalFormatting sqref="AD5:AD9 AD11:AD15 AD17:AD21 AD23:AD27">
    <cfRule type="cellIs" dxfId="13" priority="6" stopIfTrue="1" operator="equal">
      <formula>AH5</formula>
    </cfRule>
  </conditionalFormatting>
  <pageMargins left="1" right="1" top="1" bottom="1" header="0" footer="0"/>
  <pageSetup paperSize="8" orientation="landscape"/>
  <headerFooter>
    <oddFooter>&amp;C000000&amp;P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000"/>
  <sheetViews>
    <sheetView showGridLines="0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H3" sqref="H3"/>
    </sheetView>
  </sheetViews>
  <sheetFormatPr defaultColWidth="14.42578125" defaultRowHeight="15" customHeight="1"/>
  <cols>
    <col min="1" max="27" width="16.28515625" customWidth="1"/>
  </cols>
  <sheetData>
    <row r="1" spans="1:27" ht="28.5" customHeight="1">
      <c r="A1" s="58" t="s">
        <v>10</v>
      </c>
      <c r="B1" s="53"/>
      <c r="C1" s="53"/>
      <c r="D1" s="53"/>
      <c r="E1" s="53"/>
      <c r="F1" s="53"/>
      <c r="G1" s="53"/>
      <c r="H1" s="53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20.25" customHeight="1">
      <c r="A2" s="42"/>
      <c r="B2" s="43" t="s">
        <v>27</v>
      </c>
      <c r="C2" s="43" t="s">
        <v>28</v>
      </c>
      <c r="D2" s="43" t="s">
        <v>29</v>
      </c>
      <c r="E2" s="43" t="s">
        <v>30</v>
      </c>
      <c r="F2" s="43" t="s">
        <v>31</v>
      </c>
      <c r="G2" s="43" t="s">
        <v>32</v>
      </c>
      <c r="H2" s="43" t="s">
        <v>58</v>
      </c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ht="43.5" customHeight="1">
      <c r="A3" s="44" t="s">
        <v>59</v>
      </c>
      <c r="B3" s="45"/>
      <c r="C3" s="20"/>
      <c r="D3" s="20"/>
      <c r="E3" s="20"/>
      <c r="F3" s="17"/>
      <c r="G3" s="17"/>
      <c r="H3" s="17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spans="1:27" ht="38.25">
      <c r="A4" s="46" t="s">
        <v>60</v>
      </c>
      <c r="B4" s="47"/>
      <c r="C4" s="30"/>
      <c r="D4" s="30"/>
      <c r="E4" s="30"/>
      <c r="F4" s="31"/>
      <c r="G4" s="31"/>
      <c r="H4" s="3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spans="1:27" ht="51">
      <c r="A5" s="46" t="s">
        <v>61</v>
      </c>
      <c r="B5" s="47"/>
      <c r="C5" s="30"/>
      <c r="D5" s="30"/>
      <c r="E5" s="30"/>
      <c r="F5" s="31"/>
      <c r="G5" s="31"/>
      <c r="H5" s="3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spans="1:27" ht="45">
      <c r="A6" s="48" t="s">
        <v>62</v>
      </c>
      <c r="B6" s="47"/>
      <c r="C6" s="30"/>
      <c r="D6" s="30"/>
      <c r="E6" s="30"/>
      <c r="F6" s="31"/>
      <c r="G6" s="31"/>
      <c r="H6" s="3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7" ht="49.5">
      <c r="A7" s="49" t="s">
        <v>63</v>
      </c>
      <c r="B7" s="47"/>
      <c r="C7" s="30"/>
      <c r="D7" s="30"/>
      <c r="E7" s="30"/>
      <c r="F7" s="31"/>
      <c r="G7" s="31"/>
      <c r="H7" s="3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7" ht="49.5">
      <c r="A8" s="49" t="s">
        <v>64</v>
      </c>
      <c r="B8" s="47"/>
      <c r="C8" s="30"/>
      <c r="D8" s="30"/>
      <c r="E8" s="30"/>
      <c r="F8" s="31"/>
      <c r="G8" s="31"/>
      <c r="H8" s="3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7" ht="57.75">
      <c r="A9" s="49" t="s">
        <v>65</v>
      </c>
      <c r="B9" s="47"/>
      <c r="C9" s="30"/>
      <c r="D9" s="30"/>
      <c r="E9" s="30"/>
      <c r="F9" s="31"/>
      <c r="G9" s="31"/>
      <c r="H9" s="3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7" ht="38.25">
      <c r="A10" s="46" t="s">
        <v>66</v>
      </c>
      <c r="B10" s="47"/>
      <c r="C10" s="30"/>
      <c r="D10" s="30"/>
      <c r="E10" s="30"/>
      <c r="F10" s="31"/>
      <c r="G10" s="31"/>
      <c r="H10" s="3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7" ht="38.25">
      <c r="A11" s="46" t="s">
        <v>67</v>
      </c>
      <c r="B11" s="47"/>
      <c r="C11" s="30"/>
      <c r="D11" s="30"/>
      <c r="E11" s="30"/>
      <c r="F11" s="31"/>
      <c r="G11" s="31"/>
      <c r="H11" s="3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7" ht="48">
      <c r="A12" s="50" t="s">
        <v>68</v>
      </c>
      <c r="B12" s="47"/>
      <c r="C12" s="30"/>
      <c r="D12" s="30"/>
      <c r="E12" s="30"/>
      <c r="F12" s="31"/>
      <c r="G12" s="31"/>
      <c r="H12" s="3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27" ht="43.5" customHeight="1">
      <c r="A13" s="46" t="s">
        <v>69</v>
      </c>
      <c r="B13" s="47"/>
      <c r="C13" s="30"/>
      <c r="D13" s="30"/>
      <c r="E13" s="30"/>
      <c r="F13" s="31"/>
      <c r="G13" s="31"/>
      <c r="H13" s="3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27" ht="43.5" customHeight="1">
      <c r="A14" s="46" t="s">
        <v>70</v>
      </c>
      <c r="B14" s="47"/>
      <c r="C14" s="30"/>
      <c r="D14" s="30"/>
      <c r="E14" s="30"/>
      <c r="F14" s="31"/>
      <c r="G14" s="31"/>
      <c r="H14" s="3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7" ht="45">
      <c r="A15" s="51" t="s">
        <v>71</v>
      </c>
      <c r="B15" s="47"/>
      <c r="C15" s="30"/>
      <c r="D15" s="30"/>
      <c r="E15" s="30"/>
      <c r="F15" s="31"/>
      <c r="G15" s="31"/>
      <c r="H15" s="3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7" ht="19.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ht="19.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ht="19.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ht="19.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ht="19.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ht="19.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ht="19.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ht="19.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ht="19.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ht="19.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ht="19.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ht="19.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 ht="19.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 ht="19.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ht="19.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ht="19.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ht="19.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ht="19.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 ht="19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 ht="19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 ht="19.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spans="1:27" ht="19.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spans="1:27" ht="19.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spans="1:27" ht="19.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spans="1:27" ht="19.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1:27" ht="19.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spans="1:27" ht="19.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spans="1:27" ht="19.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spans="1:27" ht="19.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spans="1:27" ht="19.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spans="1:27" ht="19.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spans="1:27" ht="19.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spans="1:27" ht="19.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 ht="19.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spans="1:27" ht="19.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 ht="19.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spans="1:27" ht="19.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spans="1:27" ht="19.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spans="1:27" ht="19.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1:27" ht="19.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spans="1:27" ht="19.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spans="1:27" ht="19.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spans="1:27" ht="19.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spans="1:27" ht="19.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spans="1:27" ht="19.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spans="1:27" ht="19.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spans="1:27" ht="19.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spans="1:27" ht="19.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7" ht="19.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spans="1:27" ht="19.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spans="1:27" ht="19.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spans="1:27" ht="19.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spans="1:27" ht="19.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spans="1:27" ht="19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spans="1:27" ht="19.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spans="1:27" ht="19.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spans="1:27" ht="19.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1:27" ht="19.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spans="1:27" ht="19.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spans="1:27" ht="19.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spans="1:27" ht="19.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spans="1:27" ht="19.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spans="1:27" ht="19.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spans="1:27" ht="19.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spans="1:27" ht="19.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spans="1:27" ht="19.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spans="1:27" ht="19.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spans="1:27" ht="19.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spans="1:27" ht="19.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spans="1:27" ht="19.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spans="1:27" ht="19.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spans="1:27" ht="19.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spans="1:27" ht="19.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spans="1:27" ht="19.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spans="1:27" ht="19.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spans="1:27" ht="19.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spans="1:27" ht="19.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spans="1:27" ht="19.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spans="1:27" ht="19.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spans="1:27" ht="19.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spans="1:27" ht="19.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spans="1:27" ht="19.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1:27" ht="19.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1:27" ht="19.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spans="1:27" ht="19.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spans="1:27" ht="19.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spans="1:27" ht="19.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spans="1:27" ht="19.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spans="1:27" ht="19.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spans="1:27" ht="19.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spans="1:27" ht="19.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spans="1:27" ht="19.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spans="1:27" ht="19.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spans="1:27" ht="19.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spans="1:27" ht="19.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spans="1:27" ht="19.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spans="1:27" ht="19.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spans="1:27" ht="19.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spans="1:27" ht="19.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spans="1:27" ht="19.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spans="1:27" ht="19.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spans="1:27" ht="19.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spans="1:27" ht="19.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spans="1:27" ht="19.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spans="1:27" ht="19.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spans="1:27" ht="19.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spans="1:27" ht="19.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spans="1:27" ht="19.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7" ht="19.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spans="1:27" ht="19.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spans="1:27" ht="19.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spans="1:27" ht="19.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spans="1:27" ht="19.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spans="1:27" ht="19.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 ht="19.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spans="1:27" ht="19.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spans="1:27" ht="19.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spans="1:27" ht="19.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spans="1:27" ht="19.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spans="1:27" ht="19.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spans="1:27" ht="19.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spans="1:27" ht="19.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spans="1:27" ht="19.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spans="1:27" ht="19.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spans="1:27" ht="19.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spans="1:27" ht="19.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spans="1:27" ht="19.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spans="1:27" ht="19.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spans="1:27" ht="19.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spans="1:27" ht="19.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spans="1:27" ht="19.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spans="1:27" ht="19.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spans="1:27" ht="19.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spans="1:27" ht="19.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spans="1:27" ht="19.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spans="1:27" ht="19.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spans="1:27" ht="19.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spans="1:27" ht="19.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spans="1:27" ht="19.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spans="1:27" ht="19.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spans="1:27" ht="19.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spans="1:27" ht="19.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spans="1:27" ht="19.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spans="1:27" ht="19.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spans="1:27" ht="19.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spans="1:27" ht="19.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spans="1:27" ht="19.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spans="1:27" ht="19.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spans="1:27" ht="19.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spans="1:27" ht="19.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spans="1:27" ht="19.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spans="1:27" ht="19.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spans="1:27" ht="19.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spans="1:27" ht="19.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spans="1:27" ht="19.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spans="1:27" ht="19.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spans="1:27" ht="19.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spans="1:27" ht="19.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spans="1:27" ht="19.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spans="1:27" ht="19.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spans="1:27" ht="19.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spans="1:27" ht="19.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spans="1:27" ht="19.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spans="1:27" ht="19.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spans="1:27" ht="19.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spans="1:27" ht="19.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spans="1:27" ht="19.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spans="1:27" ht="19.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spans="1:27" ht="19.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spans="1:27" ht="19.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spans="1:27" ht="19.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spans="1:27" ht="19.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spans="1:27" ht="19.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spans="1:27" ht="19.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spans="1:27" ht="19.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spans="1:27" ht="19.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spans="1:27" ht="19.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spans="1:27" ht="19.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spans="1:27" ht="19.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spans="1:27" ht="19.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spans="1:27" ht="19.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spans="1:27" ht="19.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spans="1:27" ht="19.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spans="1:27" ht="19.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spans="1:27" ht="19.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spans="1:27" ht="19.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spans="1:27" ht="19.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spans="1:27" ht="19.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spans="1:27" ht="19.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spans="1:27" ht="19.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spans="1:27" ht="19.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spans="1:27" ht="19.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spans="1:27" ht="19.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spans="1:27" ht="19.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spans="1:27" ht="19.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spans="1:27" ht="19.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spans="1:27" ht="19.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spans="1:27" ht="19.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spans="1:27" ht="19.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spans="1:27" ht="19.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spans="1:27" ht="19.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spans="1:27" ht="19.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spans="1:27" ht="19.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spans="1:27" ht="19.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spans="1:27" ht="19.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spans="1:27" ht="19.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 spans="1:27" ht="19.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spans="1:27" ht="19.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spans="1:27" ht="19.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spans="1:27" ht="19.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spans="1:27" ht="19.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 spans="1:27" ht="19.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spans="1:27" ht="19.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spans="1:27" ht="19.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spans="1:27" ht="19.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spans="1:27" ht="19.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spans="1:27" ht="19.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spans="1:27" ht="19.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spans="1:27" ht="19.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spans="1:27" ht="19.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spans="1:27" ht="19.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spans="1:27" ht="19.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spans="1:27" ht="19.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 spans="1:27" ht="19.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 spans="1:27" ht="19.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 ht="19.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 spans="1:27" ht="19.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 spans="1:27" ht="19.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spans="1:27" ht="19.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spans="1:27" ht="19.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spans="1:27" ht="19.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 spans="1:27" ht="19.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spans="1:27" ht="19.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spans="1:27" ht="19.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spans="1:27" ht="19.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spans="1:27" ht="19.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 spans="1:27" ht="19.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 spans="1:27" ht="19.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spans="1:27" ht="19.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spans="1:27" ht="19.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spans="1:27" ht="19.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spans="1:27" ht="19.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spans="1:27" ht="19.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spans="1:27" ht="19.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spans="1:27" ht="19.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spans="1:27" ht="19.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spans="1:27" ht="19.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spans="1:27" ht="19.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spans="1:27" ht="19.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spans="1:27" ht="19.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spans="1:27" ht="19.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spans="1:27" ht="19.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spans="1:27" ht="19.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spans="1:27" ht="19.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spans="1:27" ht="19.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spans="1:27" ht="19.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spans="1:27" ht="19.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spans="1:27" ht="19.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spans="1:27" ht="19.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spans="1:27" ht="19.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spans="1:27" ht="19.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spans="1:27" ht="19.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spans="1:27" ht="19.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spans="1:27" ht="19.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spans="1:27" ht="19.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spans="1:27" ht="19.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spans="1:27" ht="19.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spans="1:27" ht="19.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spans="1:27" ht="19.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spans="1:27" ht="19.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spans="1:27" ht="19.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spans="1:27" ht="19.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spans="1:27" ht="19.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ht="19.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spans="1:27" ht="19.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spans="1:27" ht="19.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spans="1:27" ht="19.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spans="1:27" ht="19.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spans="1:27" ht="19.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spans="1:27" ht="19.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spans="1:27" ht="19.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spans="1:27" ht="19.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 ht="19.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spans="1:27" ht="19.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spans="1:27" ht="19.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spans="1:27" ht="19.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spans="1:27" ht="19.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spans="1:27" ht="19.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spans="1:27" ht="19.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spans="1:27" ht="19.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spans="1:27" ht="19.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spans="1:27" ht="19.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spans="1:27" ht="19.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spans="1:27" ht="19.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spans="1:27" ht="19.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spans="1:27" ht="19.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spans="1:27" ht="19.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spans="1:27" ht="19.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spans="1:27" ht="19.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spans="1:27" ht="19.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spans="1:27" ht="19.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spans="1:27" ht="19.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spans="1:27" ht="19.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spans="1:27" ht="19.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spans="1:27" ht="19.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spans="1:27" ht="19.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spans="1:27" ht="19.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spans="1:27" ht="19.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spans="1:27" ht="19.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spans="1:27" ht="19.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spans="1:27" ht="19.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spans="1:27" ht="19.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spans="1:27" ht="19.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spans="1:27" ht="19.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spans="1:27" ht="19.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spans="1:27" ht="19.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spans="1:27" ht="19.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spans="1:27" ht="19.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spans="1:27" ht="19.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spans="1:27" ht="19.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spans="1:27" ht="19.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spans="1:27" ht="19.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spans="1:27" ht="19.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spans="1:27" ht="19.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spans="1:27" ht="19.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spans="1:27" ht="19.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spans="1:27" ht="19.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spans="1:27" ht="19.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spans="1:27" ht="19.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spans="1:27" ht="19.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spans="1:27" ht="19.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spans="1:27" ht="19.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spans="1:27" ht="19.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spans="1:27" ht="19.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spans="1:27" ht="19.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spans="1:27" ht="19.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spans="1:27" ht="19.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spans="1:27" ht="19.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spans="1:27" ht="19.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spans="1:27" ht="19.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spans="1:27" ht="19.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spans="1:27" ht="19.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spans="1:27" ht="19.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spans="1:27" ht="19.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spans="1:27" ht="19.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spans="1:27" ht="19.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spans="1:27" ht="19.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spans="1:27" ht="19.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spans="1:27" ht="19.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spans="1:27" ht="19.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spans="1:27" ht="19.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spans="1:27" ht="19.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spans="1:27" ht="19.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spans="1:27" ht="19.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spans="1:27" ht="19.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spans="1:27" ht="19.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spans="1:27" ht="19.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spans="1:27" ht="19.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spans="1:27" ht="19.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spans="1:27" ht="19.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spans="1:27" ht="19.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spans="1:27" ht="19.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spans="1:27" ht="19.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spans="1:27" ht="19.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spans="1:27" ht="19.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spans="1:27" ht="19.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spans="1:27" ht="19.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spans="1:27" ht="19.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spans="1:27" ht="19.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spans="1:27" ht="19.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spans="1:27" ht="19.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spans="1:27" ht="19.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spans="1:27" ht="19.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spans="1:27" ht="19.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spans="1:27" ht="19.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spans="1:27" ht="19.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spans="1:27" ht="19.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spans="1:27" ht="19.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spans="1:27" ht="19.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spans="1:27" ht="19.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spans="1:27" ht="19.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spans="1:27" ht="19.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spans="1:27" ht="19.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spans="1:27" ht="19.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spans="1:27" ht="19.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spans="1:27" ht="19.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spans="1:27" ht="19.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spans="1:27" ht="19.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spans="1:27" ht="19.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spans="1:27" ht="19.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 spans="1:27" ht="19.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 spans="1:27" ht="19.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 spans="1:27" ht="19.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 spans="1:27" ht="19.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 spans="1:27" ht="19.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 spans="1:27" ht="19.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 spans="1:27" ht="19.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 spans="1:27" ht="19.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 spans="1:27" ht="19.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 spans="1:27" ht="19.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 spans="1:27" ht="19.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 spans="1:27" ht="19.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 spans="1:27" ht="19.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 spans="1:27" ht="19.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 spans="1:27" ht="19.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 spans="1:27" ht="19.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 spans="1:27" ht="19.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 spans="1:27" ht="19.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 spans="1:27" ht="19.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 spans="1:27" ht="19.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 spans="1:27" ht="19.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 spans="1:27" ht="19.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 spans="1:27" ht="19.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 spans="1:27" ht="19.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 spans="1:27" ht="19.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spans="1:27" ht="19.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 spans="1:27" ht="19.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 spans="1:27" ht="19.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 spans="1:27" ht="19.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 spans="1:27" ht="19.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 spans="1:27" ht="19.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 spans="1:27" ht="19.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 spans="1:27" ht="19.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 spans="1:27" ht="19.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 spans="1:27" ht="19.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 spans="1:27" ht="19.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 spans="1:27" ht="19.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 spans="1:27" ht="19.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 spans="1:27" ht="19.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 spans="1:27" ht="19.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 spans="1:27" ht="19.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 spans="1:27" ht="19.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 spans="1:27" ht="19.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 spans="1:27" ht="19.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 spans="1:27" ht="19.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 spans="1:27" ht="19.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 spans="1:27" ht="19.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 spans="1:27" ht="19.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 spans="1:27" ht="19.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 spans="1:27" ht="19.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 spans="1:27" ht="19.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 spans="1:27" ht="19.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 spans="1:27" ht="19.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 spans="1:27" ht="19.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 spans="1:27" ht="19.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 spans="1:27" ht="19.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 spans="1:27" ht="19.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 spans="1:27" ht="19.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 spans="1:27" ht="19.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 spans="1:27" ht="19.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 spans="1:27" ht="19.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 spans="1:27" ht="19.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 spans="1:27" ht="19.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 spans="1:27" ht="19.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 spans="1:27" ht="19.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 spans="1:27" ht="19.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 spans="1:27" ht="19.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 spans="1:27" ht="19.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 spans="1:27" ht="19.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 spans="1:27" ht="19.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 spans="1:27" ht="19.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 spans="1:27" ht="19.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 spans="1:27" ht="19.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 spans="1:27" ht="19.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 spans="1:27" ht="19.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 spans="1:27" ht="19.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 spans="1:27" ht="19.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 spans="1:27" ht="19.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 spans="1:27" ht="19.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 spans="1:27" ht="19.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 spans="1:27" ht="19.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 spans="1:27" ht="19.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 spans="1:27" ht="19.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 spans="1:27" ht="19.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 spans="1:27" ht="19.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 spans="1:27" ht="19.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 spans="1:27" ht="19.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 spans="1:27" ht="19.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 spans="1:27" ht="19.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 spans="1:27" ht="19.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 spans="1:27" ht="19.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 spans="1:27" ht="19.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 spans="1:27" ht="19.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 spans="1:27" ht="19.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 spans="1:27" ht="19.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 spans="1:27" ht="19.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 spans="1:27" ht="19.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 spans="1:27" ht="19.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 spans="1:27" ht="19.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spans="1:27" ht="19.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spans="1:27" ht="19.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 spans="1:27" ht="19.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 spans="1:27" ht="19.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 spans="1:27" ht="19.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 spans="1:27" ht="19.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spans="1:27" ht="19.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 spans="1:27" ht="19.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spans="1:27" ht="19.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 spans="1:27" ht="19.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 spans="1:27" ht="19.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 spans="1:27" ht="19.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 spans="1:27" ht="19.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 spans="1:27" ht="19.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 spans="1:27" ht="19.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 spans="1:27" ht="19.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 spans="1:27" ht="19.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 spans="1:27" ht="19.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 spans="1:27" ht="19.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spans="1:27" ht="19.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 spans="1:27" ht="19.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 spans="1:27" ht="19.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 spans="1:27" ht="19.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spans="1:27" ht="19.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 spans="1:27" ht="19.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 spans="1:27" ht="19.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 spans="1:27" ht="19.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 spans="1:27" ht="19.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 spans="1:27" ht="19.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 spans="1:27" ht="19.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 spans="1:27" ht="19.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 spans="1:27" ht="19.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 spans="1:27" ht="19.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 spans="1:27" ht="19.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 spans="1:27" ht="19.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 spans="1:27" ht="19.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spans="1:27" ht="19.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 spans="1:27" ht="19.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 spans="1:27" ht="19.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 spans="1:27" ht="19.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 spans="1:27" ht="19.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spans="1:27" ht="19.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spans="1:27" ht="19.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spans="1:27" ht="19.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spans="1:27" ht="19.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 spans="1:27" ht="19.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 spans="1:27" ht="19.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 spans="1:27" ht="19.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 spans="1:27" ht="19.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 spans="1:27" ht="19.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 spans="1:27" ht="19.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 spans="1:27" ht="19.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 spans="1:27" ht="19.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 spans="1:27" ht="19.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 spans="1:27" ht="19.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 spans="1:27" ht="19.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 spans="1:27" ht="19.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 spans="1:27" ht="19.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 spans="1:27" ht="19.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 spans="1:27" ht="19.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 spans="1:27" ht="19.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 spans="1:27" ht="19.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 spans="1:27" ht="19.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 spans="1:27" ht="19.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 spans="1:27" ht="19.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 spans="1:27" ht="19.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 spans="1:27" ht="19.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 spans="1:27" ht="19.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 spans="1:27" ht="19.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 spans="1:27" ht="19.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 spans="1:27" ht="19.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 spans="1:27" ht="19.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spans="1:27" ht="19.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 spans="1:27" ht="19.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 spans="1:27" ht="19.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 spans="1:27" ht="19.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 spans="1:27" ht="19.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 spans="1:27" ht="19.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 spans="1:27" ht="19.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 spans="1:27" ht="19.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 spans="1:27" ht="19.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 spans="1:27" ht="19.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 spans="1:27" ht="19.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 spans="1:27" ht="19.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 spans="1:27" ht="19.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 spans="1:27" ht="19.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 spans="1:27" ht="19.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 spans="1:27" ht="19.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spans="1:27" ht="19.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 spans="1:27" ht="19.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 spans="1:27" ht="19.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 spans="1:27" ht="19.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 spans="1:27" ht="19.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 spans="1:27" ht="19.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 spans="1:27" ht="19.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spans="1:27" ht="19.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 spans="1:27" ht="19.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 spans="1:27" ht="19.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 spans="1:27" ht="19.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 spans="1:27" ht="19.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 spans="1:27" ht="19.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 spans="1:27" ht="19.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 spans="1:27" ht="19.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 spans="1:27" ht="19.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 spans="1:27" ht="19.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 spans="1:27" ht="19.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spans="1:27" ht="19.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 spans="1:27" ht="19.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 spans="1:27" ht="19.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 spans="1:27" ht="19.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 spans="1:27" ht="19.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 spans="1:27" ht="19.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 spans="1:27" ht="19.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 spans="1:27" ht="19.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 spans="1:27" ht="19.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 spans="1:27" ht="19.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 spans="1:27" ht="19.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 spans="1:27" ht="19.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spans="1:27" ht="19.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 spans="1:27" ht="19.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 spans="1:27" ht="19.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 spans="1:27" ht="19.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 spans="1:27" ht="19.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 spans="1:27" ht="19.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 spans="1:27" ht="19.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 spans="1:27" ht="19.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 spans="1:27" ht="19.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 spans="1:27" ht="19.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 spans="1:27" ht="19.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 spans="1:27" ht="19.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 spans="1:27" ht="19.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 spans="1:27" ht="19.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 spans="1:27" ht="19.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 spans="1:27" ht="19.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 spans="1:27" ht="19.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 spans="1:27" ht="19.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spans="1:27" ht="19.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 spans="1:27" ht="19.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 spans="1:27" ht="19.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 spans="1:27" ht="19.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 spans="1:27" ht="19.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spans="1:27" ht="19.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 spans="1:27" ht="19.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 spans="1:27" ht="19.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 spans="1:27" ht="19.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 spans="1:27" ht="19.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 spans="1:27" ht="19.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 spans="1:27" ht="19.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 spans="1:27" ht="19.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 spans="1:27" ht="19.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 spans="1:27" ht="19.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 spans="1:27" ht="19.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 spans="1:27" ht="19.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 spans="1:27" ht="19.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 spans="1:27" ht="19.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 spans="1:27" ht="19.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 spans="1:27" ht="19.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 spans="1:27" ht="19.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 spans="1:27" ht="19.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 spans="1:27" ht="19.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 spans="1:27" ht="19.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 spans="1:27" ht="19.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 spans="1:27" ht="19.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 spans="1:27" ht="19.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 spans="1:27" ht="19.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 spans="1:27" ht="19.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 spans="1:27" ht="19.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 spans="1:27" ht="19.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 spans="1:27" ht="19.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 spans="1:27" ht="19.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 spans="1:27" ht="19.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 spans="1:27" ht="19.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 spans="1:27" ht="19.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 spans="1:27" ht="19.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 spans="1:27" ht="19.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 spans="1:27" ht="19.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 spans="1:27" ht="19.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spans="1:27" ht="19.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 spans="1:27" ht="19.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 spans="1:27" ht="19.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 spans="1:27" ht="19.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spans="1:27" ht="19.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 spans="1:27" ht="19.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 spans="1:27" ht="19.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 spans="1:27" ht="19.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spans="1:27" ht="19.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 spans="1:27" ht="19.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 spans="1:27" ht="19.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 spans="1:27" ht="19.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 spans="1:27" ht="19.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spans="1:27" ht="19.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 spans="1:27" ht="19.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 spans="1:27" ht="19.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 spans="1:27" ht="19.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 spans="1:27" ht="19.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 spans="1:27" ht="19.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 spans="1:27" ht="19.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 spans="1:27" ht="19.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 spans="1:27" ht="19.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 spans="1:27" ht="19.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 spans="1:27" ht="19.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 spans="1:27" ht="19.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 spans="1:27" ht="19.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 spans="1:27" ht="19.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 spans="1:27" ht="19.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 spans="1:27" ht="19.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 spans="1:27" ht="19.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 spans="1:27" ht="19.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 spans="1:27" ht="19.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 spans="1:27" ht="19.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spans="1:27" ht="19.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spans="1:27" ht="19.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spans="1:27" ht="19.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spans="1:27" ht="19.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spans="1:27" ht="19.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spans="1:27" ht="19.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spans="1:27" ht="19.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spans="1:27" ht="19.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spans="1:27" ht="19.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 spans="1:27" ht="19.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 spans="1:27" ht="19.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spans="1:27" ht="19.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 spans="1:27" ht="19.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 spans="1:27" ht="19.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 spans="1:27" ht="19.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 spans="1:27" ht="19.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 spans="1:27" ht="19.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 spans="1:27" ht="19.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 spans="1:27" ht="19.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 spans="1:27" ht="19.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 spans="1:27" ht="19.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 spans="1:27" ht="19.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 spans="1:27" ht="19.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spans="1:27" ht="19.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 spans="1:27" ht="19.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 spans="1:27" ht="19.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 spans="1:27" ht="19.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 spans="1:27" ht="19.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 spans="1:27" ht="19.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 spans="1:27" ht="19.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 spans="1:27" ht="19.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 spans="1:27" ht="19.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 spans="1:27" ht="19.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spans="1:27" ht="19.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spans="1:27" ht="19.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spans="1:27" ht="19.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spans="1:27" ht="19.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spans="1:27" ht="19.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spans="1:27" ht="19.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spans="1:27" ht="19.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spans="1:27" ht="19.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spans="1:27" ht="19.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spans="1:27" ht="19.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spans="1:27" ht="19.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spans="1:27" ht="19.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 spans="1:27" ht="19.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 spans="1:27" ht="19.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spans="1:27" ht="19.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spans="1:27" ht="19.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spans="1:27" ht="19.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spans="1:27" ht="19.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spans="1:27" ht="19.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spans="1:27" ht="19.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spans="1:27" ht="19.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spans="1:27" ht="19.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spans="1:27" ht="19.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spans="1:27" ht="19.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spans="1:27" ht="19.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spans="1:27" ht="19.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spans="1:27" ht="19.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spans="1:27" ht="19.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spans="1:27" ht="19.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spans="1:27" ht="19.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spans="1:27" ht="19.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spans="1:27" ht="19.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spans="1:27" ht="19.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spans="1:27" ht="19.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spans="1:27" ht="19.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spans="1:27" ht="19.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spans="1:27" ht="19.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spans="1:27" ht="19.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spans="1:27" ht="19.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spans="1:27" ht="19.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spans="1:27" ht="19.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spans="1:27" ht="19.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spans="1:27" ht="19.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spans="1:27" ht="19.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spans="1:27" ht="19.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spans="1:27" ht="19.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spans="1:27" ht="19.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 spans="1:27" ht="19.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 spans="1:27" ht="19.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 spans="1:27" ht="19.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 spans="1:27" ht="19.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 spans="1:27" ht="19.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 spans="1:27" ht="19.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 spans="1:27" ht="19.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 spans="1:27" ht="19.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 spans="1:27" ht="19.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 spans="1:27" ht="19.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 spans="1:27" ht="19.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 spans="1:27" ht="19.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 spans="1:27" ht="19.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 spans="1:27" ht="19.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 spans="1:27" ht="19.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 spans="1:27" ht="19.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 spans="1:27" ht="19.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 spans="1:27" ht="19.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 spans="1:27" ht="19.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 spans="1:27" ht="19.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 spans="1:27" ht="19.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 spans="1:27" ht="19.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 spans="1:27" ht="19.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 spans="1:27" ht="19.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 spans="1:27" ht="19.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 spans="1:27" ht="19.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 spans="1:27" ht="19.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 spans="1:27" ht="19.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 spans="1:27" ht="19.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 spans="1:27" ht="19.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 spans="1:27" ht="19.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 spans="1:27" ht="19.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 spans="1:27" ht="19.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 spans="1:27" ht="19.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 spans="1:27" ht="19.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 spans="1:27" ht="19.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 spans="1:27" ht="19.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 spans="1:27" ht="19.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 spans="1:27" ht="19.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 spans="1:27" ht="19.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 spans="1:27" ht="19.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 spans="1:27" ht="19.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 spans="1:27" ht="19.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 spans="1:27" ht="19.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 spans="1:27" ht="19.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 spans="1:27" ht="19.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 spans="1:27" ht="19.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 spans="1:27" ht="19.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 spans="1:27" ht="19.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 spans="1:27" ht="19.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 spans="1:27" ht="19.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 spans="1:27" ht="19.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 spans="1:27" ht="19.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 spans="1:27" ht="19.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 spans="1:27" ht="19.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 spans="1:27" ht="19.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 spans="1:27" ht="19.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 spans="1:27" ht="19.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 spans="1:27" ht="19.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 spans="1:27" ht="19.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 spans="1:27" ht="19.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 spans="1:27" ht="19.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 spans="1:27" ht="19.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 spans="1:27" ht="19.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 spans="1:27" ht="19.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 spans="1:27" ht="19.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 spans="1:27" ht="19.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 spans="1:27" ht="19.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 spans="1:27" ht="19.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 spans="1:27" ht="19.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 spans="1:27" ht="19.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 spans="1:27" ht="19.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 spans="1:27" ht="19.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 spans="1:27" ht="19.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 spans="1:27" ht="19.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 spans="1:27" ht="19.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spans="1:27" ht="19.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spans="1:27" ht="19.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spans="1:27" ht="19.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spans="1:27" ht="19.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spans="1:27" ht="19.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spans="1:27" ht="19.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spans="1:27" ht="19.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spans="1:27" ht="19.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spans="1:27" ht="19.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spans="1:27" ht="19.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spans="1:27" ht="19.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spans="1:27" ht="19.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spans="1:27" ht="19.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spans="1:27" ht="19.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spans="1:27" ht="19.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spans="1:27" ht="19.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spans="1:27" ht="19.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spans="1:27" ht="19.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spans="1:27" ht="19.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spans="1:27" ht="19.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spans="1:27" ht="19.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spans="1:27" ht="19.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spans="1:27" ht="19.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spans="1:27" ht="19.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spans="1:27" ht="19.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spans="1:27" ht="19.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spans="1:27" ht="19.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spans="1:27" ht="19.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spans="1:27" ht="19.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spans="1:27" ht="19.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spans="1:27" ht="19.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spans="1:27" ht="19.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spans="1:27" ht="19.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spans="1:27" ht="19.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spans="1:27" ht="19.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spans="1:27" ht="19.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spans="1:27" ht="19.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spans="1:27" ht="19.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spans="1:27" ht="19.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spans="1:27" ht="19.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spans="1:27" ht="19.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spans="1:27" ht="19.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spans="1:27" ht="19.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spans="1:27" ht="19.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spans="1:27" ht="19.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spans="1:27" ht="19.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spans="1:27" ht="19.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spans="1:27" ht="19.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spans="1:27" ht="19.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spans="1:27" ht="19.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spans="1:27" ht="19.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 spans="1:27" ht="19.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 spans="1:27" ht="19.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 spans="1:27" ht="19.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 spans="1:27" ht="19.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 spans="1:27" ht="19.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 spans="1:27" ht="19.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 spans="1:27" ht="19.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 spans="1:27" ht="19.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 spans="1:27" ht="19.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spans="1:27" ht="19.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spans="1:27" ht="19.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spans="1:27" ht="19.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spans="1:27" ht="19.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spans="1:27" ht="19.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spans="1:27" ht="19.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spans="1:27" ht="19.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 spans="1:27" ht="19.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 spans="1:27" ht="19.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 spans="1:27" ht="19.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 spans="1:27" ht="19.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 spans="1:27" ht="19.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 spans="1:27" ht="19.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 spans="1:27" ht="19.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 spans="1:27" ht="19.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 spans="1:27" ht="19.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 spans="1:27" ht="19.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 spans="1:27" ht="19.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 spans="1:27" ht="19.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 spans="1:27" ht="19.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 spans="1:27" ht="19.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 spans="1:27" ht="19.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 spans="1:27" ht="19.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 spans="1:27" ht="19.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 spans="1:27" ht="19.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 spans="1:27" ht="19.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 spans="1:27" ht="19.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 spans="1:27" ht="19.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 spans="1:27" ht="19.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 spans="1:27" ht="19.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 spans="1:27" ht="19.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 spans="1:27" ht="19.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 spans="1:27" ht="19.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 spans="1:27" ht="19.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 spans="1:27" ht="19.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 spans="1:27" ht="19.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 spans="1:27" ht="19.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 spans="1:27" ht="19.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 spans="1:27" ht="19.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 spans="1:27" ht="19.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 spans="1:27" ht="19.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 spans="1:27" ht="19.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 spans="1:27" ht="19.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 spans="1:27" ht="19.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 spans="1:27" ht="19.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spans="1:27" ht="19.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spans="1:27" ht="19.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spans="1:27" ht="19.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spans="1:27" ht="19.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spans="1:27" ht="19.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spans="1:27" ht="19.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spans="1:27" ht="19.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spans="1:27" ht="19.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spans="1:27" ht="19.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spans="1:27" ht="19.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spans="1:27" ht="19.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spans="1:27" ht="19.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spans="1:27" ht="19.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spans="1:27" ht="19.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spans="1:27" ht="19.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spans="1:27" ht="19.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spans="1:27" ht="19.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spans="1:27" ht="19.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spans="1:27" ht="19.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spans="1:27" ht="19.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spans="1:27" ht="19.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spans="1:27" ht="19.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spans="1:27" ht="19.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spans="1:27" ht="19.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spans="1:27" ht="19.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</sheetData>
  <mergeCells count="1">
    <mergeCell ref="A1:H1"/>
  </mergeCells>
  <conditionalFormatting sqref="B3:H3 B5:H5 B14:H14">
    <cfRule type="cellIs" dxfId="12" priority="1" stopIfTrue="1" operator="equal">
      <formula>"boa"</formula>
    </cfRule>
    <cfRule type="cellIs" dxfId="11" priority="2" stopIfTrue="1" operator="equal">
      <formula>"media"</formula>
    </cfRule>
    <cfRule type="cellIs" dxfId="10" priority="3" stopIfTrue="1" operator="equal">
      <formula>"ruim"</formula>
    </cfRule>
  </conditionalFormatting>
  <conditionalFormatting sqref="B4:H4 B13:H13">
    <cfRule type="cellIs" dxfId="9" priority="4" stopIfTrue="1" operator="equal">
      <formula>"bom"</formula>
    </cfRule>
    <cfRule type="cellIs" dxfId="8" priority="5" stopIfTrue="1" operator="equal">
      <formula>"medio"</formula>
    </cfRule>
    <cfRule type="cellIs" dxfId="7" priority="6" stopIfTrue="1" operator="equal">
      <formula>"ruim"</formula>
    </cfRule>
  </conditionalFormatting>
  <conditionalFormatting sqref="B6:H8 B12:H12">
    <cfRule type="cellIs" dxfId="6" priority="7" stopIfTrue="1" operator="equal">
      <formula>"sim"</formula>
    </cfRule>
    <cfRule type="cellIs" dxfId="5" priority="8" stopIfTrue="1" operator="equal">
      <formula>"não"</formula>
    </cfRule>
  </conditionalFormatting>
  <conditionalFormatting sqref="B9:H9">
    <cfRule type="cellIs" dxfId="4" priority="9" stopIfTrue="1" operator="equal">
      <formula>"Posso um pouco mais"</formula>
    </cfRule>
    <cfRule type="cellIs" dxfId="3" priority="10" stopIfTrue="1" operator="equal">
      <formula>"tempo justo"</formula>
    </cfRule>
    <cfRule type="cellIs" dxfId="2" priority="11" stopIfTrue="1" operator="equal">
      <formula>"Demorando mais que posso"</formula>
    </cfRule>
  </conditionalFormatting>
  <conditionalFormatting sqref="B10:H11 B15:H15">
    <cfRule type="cellIs" dxfId="1" priority="12" stopIfTrue="1" operator="equal">
      <formula>"sim"</formula>
    </cfRule>
    <cfRule type="cellIs" dxfId="0" priority="13" stopIfTrue="1" operator="equal">
      <formula>"não"</formula>
    </cfRule>
  </conditionalFormatting>
  <dataValidations count="4">
    <dataValidation type="list" allowBlank="1" showErrorMessage="1" sqref="B13:H13 B4:H4" xr:uid="{00000000-0002-0000-0300-000000000000}">
      <formula1>"Bom,Medio,Ruim"</formula1>
    </dataValidation>
    <dataValidation type="list" allowBlank="1" showErrorMessage="1" sqref="B15:H15 B10:H12 B6:H8" xr:uid="{00000000-0002-0000-0300-000001000000}">
      <formula1>"Sim,Não"</formula1>
    </dataValidation>
    <dataValidation type="list" allowBlank="1" showErrorMessage="1" sqref="B9:H9" xr:uid="{00000000-0002-0000-0300-000002000000}">
      <formula1>"Posso um pouco mais,Tempo justo,Demorando mais que posso"</formula1>
    </dataValidation>
    <dataValidation type="list" allowBlank="1" showErrorMessage="1" sqref="B14:H14 B5:H5 B3:H3" xr:uid="{00000000-0002-0000-0300-000003000000}">
      <formula1>"Boa,Media,Ruim"</formula1>
    </dataValidation>
  </dataValidations>
  <pageMargins left="1" right="1" top="1" bottom="1" header="0" footer="0"/>
  <pageSetup orientation="portrait"/>
  <headerFooter>
    <oddFooter>&amp;C000000&amp;P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10"/>
  <sheetViews>
    <sheetView showGridLines="0" tabSelected="1" workbookViewId="0">
      <pane ySplit="2" topLeftCell="A20" activePane="bottomLeft" state="frozen"/>
      <selection pane="bottomLeft" activeCell="B53" sqref="B53:F62"/>
    </sheetView>
  </sheetViews>
  <sheetFormatPr defaultColWidth="14.42578125" defaultRowHeight="15" customHeight="1"/>
  <cols>
    <col min="1" max="26" width="16.28515625" customWidth="1"/>
  </cols>
  <sheetData>
    <row r="1" spans="1:26" ht="28.5" customHeight="1">
      <c r="A1" s="58" t="s">
        <v>12</v>
      </c>
      <c r="B1" s="53"/>
      <c r="C1" s="53"/>
      <c r="D1" s="53"/>
      <c r="E1" s="53"/>
      <c r="F1" s="53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20.25" customHeight="1">
      <c r="A2" s="78"/>
      <c r="B2" s="79"/>
      <c r="C2" s="79"/>
      <c r="D2" s="79"/>
      <c r="E2" s="79"/>
      <c r="F2" s="80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8.25" customHeight="1">
      <c r="A3" s="81" t="s">
        <v>27</v>
      </c>
      <c r="B3" s="82"/>
      <c r="C3" s="83"/>
      <c r="D3" s="83"/>
      <c r="E3" s="83"/>
      <c r="F3" s="84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7.5" customHeight="1">
      <c r="A4" s="66"/>
      <c r="B4" s="71"/>
      <c r="C4" s="53"/>
      <c r="D4" s="53"/>
      <c r="E4" s="53"/>
      <c r="F4" s="72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7.5" customHeight="1">
      <c r="A5" s="66"/>
      <c r="B5" s="71"/>
      <c r="C5" s="53"/>
      <c r="D5" s="53"/>
      <c r="E5" s="53"/>
      <c r="F5" s="72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7.5" customHeight="1">
      <c r="A6" s="66"/>
      <c r="B6" s="71"/>
      <c r="C6" s="53"/>
      <c r="D6" s="53"/>
      <c r="E6" s="53"/>
      <c r="F6" s="72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7.5" customHeight="1">
      <c r="A7" s="66"/>
      <c r="B7" s="71"/>
      <c r="C7" s="53"/>
      <c r="D7" s="53"/>
      <c r="E7" s="53"/>
      <c r="F7" s="72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7.5" customHeight="1">
      <c r="A8" s="66"/>
      <c r="B8" s="71"/>
      <c r="C8" s="53"/>
      <c r="D8" s="53"/>
      <c r="E8" s="53"/>
      <c r="F8" s="72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7.5" customHeight="1">
      <c r="A9" s="66"/>
      <c r="B9" s="71"/>
      <c r="C9" s="53"/>
      <c r="D9" s="53"/>
      <c r="E9" s="53"/>
      <c r="F9" s="72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7.5" customHeight="1">
      <c r="A10" s="66"/>
      <c r="B10" s="71"/>
      <c r="C10" s="53"/>
      <c r="D10" s="53"/>
      <c r="E10" s="53"/>
      <c r="F10" s="72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7.5" customHeight="1">
      <c r="A11" s="66"/>
      <c r="B11" s="71"/>
      <c r="C11" s="53"/>
      <c r="D11" s="53"/>
      <c r="E11" s="53"/>
      <c r="F11" s="72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8.25" customHeight="1">
      <c r="A12" s="67"/>
      <c r="B12" s="73"/>
      <c r="C12" s="74"/>
      <c r="D12" s="74"/>
      <c r="E12" s="74"/>
      <c r="F12" s="75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8.25" customHeight="1">
      <c r="A13" s="65" t="s">
        <v>28</v>
      </c>
      <c r="B13" s="68"/>
      <c r="C13" s="69"/>
      <c r="D13" s="69"/>
      <c r="E13" s="69"/>
      <c r="F13" s="70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7.5" customHeight="1">
      <c r="A14" s="66"/>
      <c r="B14" s="71"/>
      <c r="C14" s="53"/>
      <c r="D14" s="53"/>
      <c r="E14" s="53"/>
      <c r="F14" s="72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7.5" customHeight="1">
      <c r="A15" s="66"/>
      <c r="B15" s="71"/>
      <c r="C15" s="53"/>
      <c r="D15" s="53"/>
      <c r="E15" s="53"/>
      <c r="F15" s="72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7.5" customHeight="1">
      <c r="A16" s="66"/>
      <c r="B16" s="71"/>
      <c r="C16" s="53"/>
      <c r="D16" s="53"/>
      <c r="E16" s="53"/>
      <c r="F16" s="72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7.5" customHeight="1">
      <c r="A17" s="66"/>
      <c r="B17" s="71"/>
      <c r="C17" s="53"/>
      <c r="D17" s="53"/>
      <c r="E17" s="53"/>
      <c r="F17" s="72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7.5" customHeight="1">
      <c r="A18" s="66"/>
      <c r="B18" s="71"/>
      <c r="C18" s="53"/>
      <c r="D18" s="53"/>
      <c r="E18" s="53"/>
      <c r="F18" s="72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7.5" customHeight="1">
      <c r="A19" s="66"/>
      <c r="B19" s="71"/>
      <c r="C19" s="53"/>
      <c r="D19" s="53"/>
      <c r="E19" s="53"/>
      <c r="F19" s="72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7.5" customHeight="1">
      <c r="A20" s="66"/>
      <c r="B20" s="71"/>
      <c r="C20" s="53"/>
      <c r="D20" s="53"/>
      <c r="E20" s="53"/>
      <c r="F20" s="72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7.5" customHeight="1">
      <c r="A21" s="66"/>
      <c r="B21" s="71"/>
      <c r="C21" s="53"/>
      <c r="D21" s="53"/>
      <c r="E21" s="53"/>
      <c r="F21" s="72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8.25" customHeight="1">
      <c r="A22" s="67"/>
      <c r="B22" s="73"/>
      <c r="C22" s="74"/>
      <c r="D22" s="74"/>
      <c r="E22" s="74"/>
      <c r="F22" s="75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8.25" customHeight="1">
      <c r="A23" s="65" t="s">
        <v>29</v>
      </c>
      <c r="B23" s="68"/>
      <c r="C23" s="69"/>
      <c r="D23" s="69"/>
      <c r="E23" s="69"/>
      <c r="F23" s="7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7.5" customHeight="1">
      <c r="A24" s="66"/>
      <c r="B24" s="71"/>
      <c r="C24" s="53"/>
      <c r="D24" s="53"/>
      <c r="E24" s="53"/>
      <c r="F24" s="72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7.5" customHeight="1">
      <c r="A25" s="66"/>
      <c r="B25" s="71"/>
      <c r="C25" s="53"/>
      <c r="D25" s="53"/>
      <c r="E25" s="53"/>
      <c r="F25" s="72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7.5" customHeight="1">
      <c r="A26" s="66"/>
      <c r="B26" s="71"/>
      <c r="C26" s="53"/>
      <c r="D26" s="53"/>
      <c r="E26" s="53"/>
      <c r="F26" s="72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7.5" customHeight="1">
      <c r="A27" s="66"/>
      <c r="B27" s="71"/>
      <c r="C27" s="53"/>
      <c r="D27" s="53"/>
      <c r="E27" s="53"/>
      <c r="F27" s="72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7.5" customHeight="1">
      <c r="A28" s="66"/>
      <c r="B28" s="71"/>
      <c r="C28" s="53"/>
      <c r="D28" s="53"/>
      <c r="E28" s="53"/>
      <c r="F28" s="72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7.5" customHeight="1">
      <c r="A29" s="66"/>
      <c r="B29" s="71"/>
      <c r="C29" s="53"/>
      <c r="D29" s="53"/>
      <c r="E29" s="53"/>
      <c r="F29" s="72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7.5" customHeight="1">
      <c r="A30" s="66"/>
      <c r="B30" s="71"/>
      <c r="C30" s="53"/>
      <c r="D30" s="53"/>
      <c r="E30" s="53"/>
      <c r="F30" s="72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7.5" customHeight="1">
      <c r="A31" s="66"/>
      <c r="B31" s="71"/>
      <c r="C31" s="53"/>
      <c r="D31" s="53"/>
      <c r="E31" s="53"/>
      <c r="F31" s="72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8.25" customHeight="1">
      <c r="A32" s="67"/>
      <c r="B32" s="73"/>
      <c r="C32" s="74"/>
      <c r="D32" s="74"/>
      <c r="E32" s="74"/>
      <c r="F32" s="75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8.25" customHeight="1">
      <c r="A33" s="65" t="s">
        <v>30</v>
      </c>
      <c r="B33" s="68"/>
      <c r="C33" s="69"/>
      <c r="D33" s="69"/>
      <c r="E33" s="69"/>
      <c r="F33" s="70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7.5" customHeight="1">
      <c r="A34" s="66"/>
      <c r="B34" s="71"/>
      <c r="C34" s="53"/>
      <c r="D34" s="53"/>
      <c r="E34" s="53"/>
      <c r="F34" s="72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7.5" customHeight="1">
      <c r="A35" s="66"/>
      <c r="B35" s="71"/>
      <c r="C35" s="53"/>
      <c r="D35" s="53"/>
      <c r="E35" s="53"/>
      <c r="F35" s="72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7.5" customHeight="1">
      <c r="A36" s="66"/>
      <c r="B36" s="71"/>
      <c r="C36" s="53"/>
      <c r="D36" s="53"/>
      <c r="E36" s="53"/>
      <c r="F36" s="72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7.5" customHeight="1">
      <c r="A37" s="66"/>
      <c r="B37" s="71"/>
      <c r="C37" s="53"/>
      <c r="D37" s="53"/>
      <c r="E37" s="53"/>
      <c r="F37" s="72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7.5" customHeight="1">
      <c r="A38" s="66"/>
      <c r="B38" s="71"/>
      <c r="C38" s="53"/>
      <c r="D38" s="53"/>
      <c r="E38" s="53"/>
      <c r="F38" s="72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7.5" customHeight="1">
      <c r="A39" s="66"/>
      <c r="B39" s="71"/>
      <c r="C39" s="53"/>
      <c r="D39" s="53"/>
      <c r="E39" s="53"/>
      <c r="F39" s="72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7.5" customHeight="1">
      <c r="A40" s="66"/>
      <c r="B40" s="71"/>
      <c r="C40" s="53"/>
      <c r="D40" s="53"/>
      <c r="E40" s="53"/>
      <c r="F40" s="72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7.5" customHeight="1">
      <c r="A41" s="66"/>
      <c r="B41" s="71"/>
      <c r="C41" s="53"/>
      <c r="D41" s="53"/>
      <c r="E41" s="53"/>
      <c r="F41" s="72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8.25" customHeight="1">
      <c r="A42" s="67"/>
      <c r="B42" s="73"/>
      <c r="C42" s="74"/>
      <c r="D42" s="74"/>
      <c r="E42" s="74"/>
      <c r="F42" s="75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8.25" customHeight="1">
      <c r="A43" s="65" t="s">
        <v>31</v>
      </c>
      <c r="B43" s="76"/>
      <c r="C43" s="69"/>
      <c r="D43" s="69"/>
      <c r="E43" s="69"/>
      <c r="F43" s="70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8.25" customHeight="1">
      <c r="A44" s="66"/>
      <c r="B44" s="71"/>
      <c r="C44" s="53"/>
      <c r="D44" s="53"/>
      <c r="E44" s="53"/>
      <c r="F44" s="72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8.25" customHeight="1">
      <c r="A45" s="66"/>
      <c r="B45" s="71"/>
      <c r="C45" s="53"/>
      <c r="D45" s="53"/>
      <c r="E45" s="53"/>
      <c r="F45" s="72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8.25" customHeight="1">
      <c r="A46" s="66"/>
      <c r="B46" s="71"/>
      <c r="C46" s="53"/>
      <c r="D46" s="53"/>
      <c r="E46" s="53"/>
      <c r="F46" s="72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8.25" customHeight="1">
      <c r="A47" s="66"/>
      <c r="B47" s="71"/>
      <c r="C47" s="53"/>
      <c r="D47" s="53"/>
      <c r="E47" s="53"/>
      <c r="F47" s="72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8.25" customHeight="1">
      <c r="A48" s="66"/>
      <c r="B48" s="71"/>
      <c r="C48" s="53"/>
      <c r="D48" s="53"/>
      <c r="E48" s="53"/>
      <c r="F48" s="72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8.25" customHeight="1">
      <c r="A49" s="66"/>
      <c r="B49" s="71"/>
      <c r="C49" s="53"/>
      <c r="D49" s="53"/>
      <c r="E49" s="53"/>
      <c r="F49" s="72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8.25" customHeight="1">
      <c r="A50" s="66"/>
      <c r="B50" s="71"/>
      <c r="C50" s="53"/>
      <c r="D50" s="53"/>
      <c r="E50" s="53"/>
      <c r="F50" s="72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8.25" customHeight="1">
      <c r="A51" s="66"/>
      <c r="B51" s="71"/>
      <c r="C51" s="53"/>
      <c r="D51" s="53"/>
      <c r="E51" s="53"/>
      <c r="F51" s="72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8.25" customHeight="1">
      <c r="A52" s="67"/>
      <c r="B52" s="73"/>
      <c r="C52" s="74"/>
      <c r="D52" s="74"/>
      <c r="E52" s="74"/>
      <c r="F52" s="75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8.25" customHeight="1">
      <c r="A53" s="65" t="s">
        <v>32</v>
      </c>
      <c r="B53" s="76"/>
      <c r="C53" s="69"/>
      <c r="D53" s="69"/>
      <c r="E53" s="69"/>
      <c r="F53" s="70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8.25" customHeight="1">
      <c r="A54" s="66"/>
      <c r="B54" s="71"/>
      <c r="C54" s="53"/>
      <c r="D54" s="53"/>
      <c r="E54" s="53"/>
      <c r="F54" s="72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8.25" customHeight="1">
      <c r="A55" s="66"/>
      <c r="B55" s="71"/>
      <c r="C55" s="53"/>
      <c r="D55" s="53"/>
      <c r="E55" s="53"/>
      <c r="F55" s="72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8.25" customHeight="1">
      <c r="A56" s="66"/>
      <c r="B56" s="71"/>
      <c r="C56" s="53"/>
      <c r="D56" s="53"/>
      <c r="E56" s="53"/>
      <c r="F56" s="72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8.25" customHeight="1">
      <c r="A57" s="66"/>
      <c r="B57" s="71"/>
      <c r="C57" s="53"/>
      <c r="D57" s="53"/>
      <c r="E57" s="53"/>
      <c r="F57" s="72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8.25" customHeight="1">
      <c r="A58" s="66"/>
      <c r="B58" s="71"/>
      <c r="C58" s="53"/>
      <c r="D58" s="53"/>
      <c r="E58" s="53"/>
      <c r="F58" s="72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8.25" customHeight="1">
      <c r="A59" s="66"/>
      <c r="B59" s="71"/>
      <c r="C59" s="53"/>
      <c r="D59" s="53"/>
      <c r="E59" s="53"/>
      <c r="F59" s="72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8.25" customHeight="1">
      <c r="A60" s="66"/>
      <c r="B60" s="71"/>
      <c r="C60" s="53"/>
      <c r="D60" s="53"/>
      <c r="E60" s="53"/>
      <c r="F60" s="72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8.25" customHeight="1">
      <c r="A61" s="66"/>
      <c r="B61" s="71"/>
      <c r="C61" s="53"/>
      <c r="D61" s="53"/>
      <c r="E61" s="53"/>
      <c r="F61" s="72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8.25" customHeight="1">
      <c r="A62" s="67"/>
      <c r="B62" s="73"/>
      <c r="C62" s="74"/>
      <c r="D62" s="74"/>
      <c r="E62" s="74"/>
      <c r="F62" s="75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8.25" customHeight="1">
      <c r="A63" s="65" t="s">
        <v>72</v>
      </c>
      <c r="B63" s="77"/>
      <c r="C63" s="69"/>
      <c r="D63" s="69"/>
      <c r="E63" s="69"/>
      <c r="F63" s="70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7.5" customHeight="1">
      <c r="A64" s="66"/>
      <c r="B64" s="71"/>
      <c r="C64" s="53"/>
      <c r="D64" s="53"/>
      <c r="E64" s="53"/>
      <c r="F64" s="72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7.5" customHeight="1">
      <c r="A65" s="66"/>
      <c r="B65" s="71"/>
      <c r="C65" s="53"/>
      <c r="D65" s="53"/>
      <c r="E65" s="53"/>
      <c r="F65" s="72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7.5" customHeight="1">
      <c r="A66" s="66"/>
      <c r="B66" s="71"/>
      <c r="C66" s="53"/>
      <c r="D66" s="53"/>
      <c r="E66" s="53"/>
      <c r="F66" s="72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7.5" customHeight="1">
      <c r="A67" s="66"/>
      <c r="B67" s="71"/>
      <c r="C67" s="53"/>
      <c r="D67" s="53"/>
      <c r="E67" s="53"/>
      <c r="F67" s="72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7.5" customHeight="1">
      <c r="A68" s="66"/>
      <c r="B68" s="71"/>
      <c r="C68" s="53"/>
      <c r="D68" s="53"/>
      <c r="E68" s="53"/>
      <c r="F68" s="72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7.5" customHeight="1">
      <c r="A69" s="66"/>
      <c r="B69" s="71"/>
      <c r="C69" s="53"/>
      <c r="D69" s="53"/>
      <c r="E69" s="53"/>
      <c r="F69" s="72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7.5" customHeight="1">
      <c r="A70" s="66"/>
      <c r="B70" s="71"/>
      <c r="C70" s="53"/>
      <c r="D70" s="53"/>
      <c r="E70" s="53"/>
      <c r="F70" s="72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7.5" customHeight="1">
      <c r="A71" s="66"/>
      <c r="B71" s="71"/>
      <c r="C71" s="53"/>
      <c r="D71" s="53"/>
      <c r="E71" s="53"/>
      <c r="F71" s="72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8.25" customHeight="1">
      <c r="A72" s="67"/>
      <c r="B72" s="73"/>
      <c r="C72" s="74"/>
      <c r="D72" s="74"/>
      <c r="E72" s="74"/>
      <c r="F72" s="75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9.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9.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9.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9.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9.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9.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9.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9.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9.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9.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9.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9.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9.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9.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9.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9.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9.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9.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9.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9.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9.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9.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9.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9.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9.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9.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9.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9.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9.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9.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9.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9.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9.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9.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9.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9.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9.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9.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9.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9.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9.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9.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9.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9.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9.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9.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9.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9.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9.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9.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9.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9.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9.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9.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9.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9.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9.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9.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9.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9.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9.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9.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9.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9.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9.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9.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9.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9.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9.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9.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9.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9.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9.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9.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9.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9.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9.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9.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9.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9.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9.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9.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9.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9.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9.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9.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9.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9.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9.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9.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9.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9.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9.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9.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9.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9.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9.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9.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9.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9.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9.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9.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9.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9.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9.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9.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9.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9.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9.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9.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9.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9.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9.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9.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9.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9.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9.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9.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9.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9.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9.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9.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9.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9.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9.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9.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9.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9.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9.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9.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9.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9.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9.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9.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9.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9.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9.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9.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9.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9.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9.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9.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9.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9.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9.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9.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9.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9.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9.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9.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9.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9.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9.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9.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9.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9.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9.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9.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9.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9.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9.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9.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9.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9.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9.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9.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9.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9.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9.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9.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9.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9.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9.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9.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9.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9.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9.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9.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9.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9.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9.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9.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9.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9.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9.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9.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9.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9.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9.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9.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9.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9.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9.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9.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9.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9.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9.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9.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9.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9.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9.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9.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9.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9.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9.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9.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9.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9.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9.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9.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9.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9.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9.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9.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9.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9.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9.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9.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9.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9.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9.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9.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9.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9.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9.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9.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9.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9.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9.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9.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9.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9.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9.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9.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9.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9.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9.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9.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9.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9.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9.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9.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9.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9.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9.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9.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9.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9.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9.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9.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9.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9.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9.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9.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9.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9.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9.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9.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9.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9.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9.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9.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9.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9.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9.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9.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9.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9.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9.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9.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9.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9.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9.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9.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9.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9.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9.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9.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9.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9.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9.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9.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9.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9.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9.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9.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9.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9.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9.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9.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9.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9.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9.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9.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9.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9.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9.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9.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9.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9.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9.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9.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9.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9.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9.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9.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9.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9.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9.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9.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9.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9.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9.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9.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9.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9.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9.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9.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9.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9.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9.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9.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9.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9.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9.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9.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9.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9.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9.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9.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9.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9.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9.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9.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9.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9.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9.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9.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9.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9.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9.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9.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9.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9.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9.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9.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9.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9.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9.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9.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9.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9.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9.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9.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9.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9.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9.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9.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9.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9.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9.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9.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9.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9.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9.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9.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9.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9.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9.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9.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9.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9.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9.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9.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9.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9.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9.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9.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9.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9.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9.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9.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9.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9.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9.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9.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9.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9.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9.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9.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9.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9.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9.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9.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9.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9.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9.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9.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9.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9.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9.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9.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9.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9.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9.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9.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9.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9.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9.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9.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9.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9.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9.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9.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9.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9.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9.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9.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9.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9.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9.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9.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9.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9.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9.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9.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9.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9.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9.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9.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9.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9.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9.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9.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9.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9.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9.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9.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9.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9.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9.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9.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9.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9.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9.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9.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9.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9.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9.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9.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9.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9.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9.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9.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9.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9.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9.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9.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9.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9.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9.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9.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9.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9.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9.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9.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9.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9.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9.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9.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9.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9.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9.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9.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9.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9.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9.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9.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9.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9.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9.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9.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9.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9.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9.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9.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9.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9.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9.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9.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9.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9.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9.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9.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9.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9.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9.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9.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9.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9.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9.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9.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9.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9.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9.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9.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9.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9.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9.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9.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9.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9.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9.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9.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9.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9.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9.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9.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9.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9.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9.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9.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9.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9.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9.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9.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9.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9.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9.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9.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9.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9.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9.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9.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9.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9.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9.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9.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9.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9.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9.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9.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9.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9.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9.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9.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9.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9.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9.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9.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9.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9.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9.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9.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9.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9.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9.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9.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9.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9.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9.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9.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9.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9.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9.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9.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9.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9.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9.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9.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9.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9.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9.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9.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9.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9.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9.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9.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9.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9.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9.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9.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9.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9.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9.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9.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9.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9.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9.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9.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9.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9.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9.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9.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9.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9.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9.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9.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9.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9.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9.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9.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9.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9.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9.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9.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9.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9.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9.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9.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9.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9.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9.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9.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9.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9.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9.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9.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9.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9.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9.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9.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9.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9.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9.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9.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9.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9.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9.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9.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9.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9.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9.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9.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9.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9.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9.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9.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9.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9.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9.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9.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9.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9.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9.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9.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9.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9.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9.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9.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9.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9.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9.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9.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9.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9.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9.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9.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9.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9.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9.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9.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9.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9.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9.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9.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9.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9.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9.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9.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9.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9.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9.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9.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9.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9.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9.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9.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9.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9.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9.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9.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9.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9.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9.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9.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9.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9.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9.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9.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9.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9.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9.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9.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9.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9.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9.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9.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9.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9.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9.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9.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9.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9.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9.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9.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9.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9.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9.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9.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9.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9.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9.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9.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9.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9.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9.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9.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9.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9.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9.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9.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9.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9.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9.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9.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9.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9.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9.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9.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9.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9.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9.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9.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9.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9.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9.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9.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9.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9.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9.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9.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9.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9.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9.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9.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9.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9.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9.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9.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9.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9.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9.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9.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9.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9.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9.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9.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9.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9.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9.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9.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9.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9.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9.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9.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9.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9.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9.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9.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9.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9.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9.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9.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9.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9.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9.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9.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9.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9.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9.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9.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9.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9.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9.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9.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9.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9.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9.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9.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9.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9.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9.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9.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9.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9.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9.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9.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9.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9.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9.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9.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9.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9.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9.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9.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9.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9.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9.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9.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9.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9.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9.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9.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9.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9.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9.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9.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9.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9.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9.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9.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9.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9.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9.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9.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9.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9.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9.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9.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9.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9.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9.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9.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9.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9.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9.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9.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9.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9.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9.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9.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9.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9.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9.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9.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9.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9.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9.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9.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9.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9.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9.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9.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9.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9.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9.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9.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9.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9.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9.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9.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9.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9.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9.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9.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9.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9.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9.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9.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9.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9.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9.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9.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9.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9.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9.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9.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9.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9.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9.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9.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9.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9.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9.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9.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9.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9.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9.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9.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9.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9.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9.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9.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9.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9.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9.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9.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9.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9.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9.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9.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9.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9.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9.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9.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9.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19.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19.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19.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19.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19.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19.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19.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19.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19.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19.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19.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19.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19.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19.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19.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19.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19.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19.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19.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19.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19.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 spans="1:26" ht="19.5" customHeight="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 spans="1:26" ht="19.5" customHeight="1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 spans="1:26" ht="19.5" customHeight="1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 spans="1:26" ht="19.5" customHeight="1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  <row r="1005" spans="1:26" ht="19.5" customHeight="1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</row>
    <row r="1006" spans="1:26" ht="19.5" customHeight="1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</row>
    <row r="1007" spans="1:26" ht="19.5" customHeight="1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</row>
    <row r="1008" spans="1:26" ht="19.5" customHeight="1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</row>
    <row r="1009" spans="1:26" ht="19.5" customHeight="1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</row>
    <row r="1010" spans="1:26" ht="19.5" customHeight="1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</row>
  </sheetData>
  <mergeCells count="16">
    <mergeCell ref="B23:F32"/>
    <mergeCell ref="A1:F1"/>
    <mergeCell ref="A2:F2"/>
    <mergeCell ref="A3:A12"/>
    <mergeCell ref="B3:F12"/>
    <mergeCell ref="A13:A22"/>
    <mergeCell ref="B13:F22"/>
    <mergeCell ref="A63:A72"/>
    <mergeCell ref="B33:F42"/>
    <mergeCell ref="B43:F52"/>
    <mergeCell ref="B53:F62"/>
    <mergeCell ref="B63:F72"/>
    <mergeCell ref="A23:A32"/>
    <mergeCell ref="A33:A42"/>
    <mergeCell ref="A43:A52"/>
    <mergeCell ref="A53:A62"/>
  </mergeCells>
  <pageMargins left="1" right="1" top="1" bottom="1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 da Exportação</vt:lpstr>
      <vt:lpstr>como preencher</vt:lpstr>
      <vt:lpstr>cargas - Planilha para acompanh</vt:lpstr>
      <vt:lpstr>feedback - Feedback do período</vt:lpstr>
      <vt:lpstr>feedback - Comentários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2026-06-13T18:38:39Z</dcterms:modified>
</cp:coreProperties>
</file>