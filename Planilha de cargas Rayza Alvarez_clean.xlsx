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da Exportação" sheetId="1" r:id="rId5"/>
    <sheet state="visible" name="como preencher" sheetId="2" r:id="rId6"/>
    <sheet state="visible" name="cargas - Planilha para acompanh" sheetId="3" r:id="rId7"/>
    <sheet state="visible" name="feedback - Feedback do período" sheetId="4" r:id="rId8"/>
    <sheet state="visible" name="feedback - Comentários" sheetId="5" r:id="rId9"/>
  </sheets>
  <definedNames/>
  <calcPr/>
</workbook>
</file>

<file path=xl/sharedStrings.xml><?xml version="1.0" encoding="utf-8"?>
<sst xmlns="http://schemas.openxmlformats.org/spreadsheetml/2006/main" count="121" uniqueCount="74">
  <si>
    <t>Este documento foi exportado do Numbers. Cada tabela foi convertida em uma folha do Excel. Todos os outros objetos em cada folha do Numbers foram colocados em folhas à parte. Esteja ciente de que os cálculos de fórmulas podem ser diferentes no Excel.</t>
  </si>
  <si>
    <t>Nome da Folha do Numbers</t>
  </si>
  <si>
    <t>Nome da Tabela do Numbers</t>
  </si>
  <si>
    <t>Nome da Planilha do Excel</t>
  </si>
  <si>
    <t>como preencher</t>
  </si>
  <si>
    <t>“Todos os Desenhos da Folha”</t>
  </si>
  <si>
    <t>cargas</t>
  </si>
  <si>
    <t>Planilha para acompanhamento de cargas</t>
  </si>
  <si>
    <t>cargas - Planilha para acompanh</t>
  </si>
  <si>
    <t>feedback</t>
  </si>
  <si>
    <t>Feedback do período</t>
  </si>
  <si>
    <t>feedback - Feedback do período</t>
  </si>
  <si>
    <t>Comentários</t>
  </si>
  <si>
    <t>feedback - Comentários</t>
  </si>
  <si>
    <t xml:space="preserve">PREENCHA APENAS AS SÉRIES DE COR 🟠🔴 </t>
  </si>
  <si>
    <t xml:space="preserve">Evolução semanal </t>
  </si>
  <si>
    <t xml:space="preserve">Exercício </t>
  </si>
  <si>
    <t xml:space="preserve">Nº de séries </t>
  </si>
  <si>
    <t>Série 1</t>
  </si>
  <si>
    <t>Série 2</t>
  </si>
  <si>
    <t>Série 3</t>
  </si>
  <si>
    <t>Série 4</t>
  </si>
  <si>
    <t>Série 5</t>
  </si>
  <si>
    <t>Série 6</t>
  </si>
  <si>
    <t>Série 7</t>
  </si>
  <si>
    <t>Carga total</t>
  </si>
  <si>
    <t xml:space="preserve">Media de repetições </t>
  </si>
  <si>
    <t>Semana 1</t>
  </si>
  <si>
    <t>Semana 2</t>
  </si>
  <si>
    <t>Semana 3</t>
  </si>
  <si>
    <t>Semana 4</t>
  </si>
  <si>
    <t>Semana 5</t>
  </si>
  <si>
    <t>Semana 6</t>
  </si>
  <si>
    <t>Semana 7</t>
  </si>
  <si>
    <t xml:space="preserve">Progressão geral </t>
  </si>
  <si>
    <t xml:space="preserve">Maior valor </t>
  </si>
  <si>
    <t>🟠</t>
  </si>
  <si>
    <t>🔴</t>
  </si>
  <si>
    <t>Kg</t>
  </si>
  <si>
    <t>Reps</t>
  </si>
  <si>
    <t xml:space="preserve">Carga total </t>
  </si>
  <si>
    <t>Progressão de carga</t>
  </si>
  <si>
    <t xml:space="preserve">Variação de reps </t>
  </si>
  <si>
    <t>CADEIRA ABDUTORA</t>
  </si>
  <si>
    <t>ELEVAÇÃO PELVICA</t>
  </si>
  <si>
    <t>LEG PRESS</t>
  </si>
  <si>
    <t>CADEIRA EXTENSORA</t>
  </si>
  <si>
    <t>CADEIRA FLEXORA</t>
  </si>
  <si>
    <t>ELEVAÇÃO LATERAL C/H</t>
  </si>
  <si>
    <t>SUPINO RETO MÁQUINA</t>
  </si>
  <si>
    <t>PUXADA PRONADA POLIA</t>
  </si>
  <si>
    <t>REMADA SERROTE</t>
  </si>
  <si>
    <t>ROSCA DIRETA POLIA</t>
  </si>
  <si>
    <t xml:space="preserve">RDL </t>
  </si>
  <si>
    <t>MESA FLEXORA</t>
  </si>
  <si>
    <t>DESENVOLVIMENTO C/H</t>
  </si>
  <si>
    <t>PUXADA NEUTRA POLIA</t>
  </si>
  <si>
    <t>REMADA PRONADA MÁQUINA</t>
  </si>
  <si>
    <t>TRICEPS POLIA</t>
  </si>
  <si>
    <r>
      <rPr>
        <rFont val="Helvetica Neue"/>
        <b/>
        <color rgb="FFFEFFFE"/>
        <sz val="10.0"/>
      </rPr>
      <t xml:space="preserve">Semana 6 </t>
    </r>
    <r>
      <rPr>
        <rFont val="Helvetica Neue"/>
        <b/>
        <color rgb="FFFDAD00"/>
        <sz val="10.0"/>
      </rPr>
      <t>FOTOS</t>
    </r>
  </si>
  <si>
    <t>Como foi sua assiduidade ao treino?</t>
  </si>
  <si>
    <t xml:space="preserve">Como foi seu desempenho nos treinos? </t>
  </si>
  <si>
    <t xml:space="preserve">Como foi sua recuperação ao longo da semana? </t>
  </si>
  <si>
    <t>Tem algum exercício que não goste? (Se sim, descreva nos comentários)</t>
  </si>
  <si>
    <t>Tem algum exercício que esteja com dificuldade de execução? (Se sim, descreva nos comentários)</t>
  </si>
  <si>
    <t>Tem algum exercício que gostaria de ter no próximo bloco? Pode ser um que já faz ou não. (Se sim, descreva nos comentários)</t>
  </si>
  <si>
    <t>Como está o tempo de duração dos treinos? (Se tiver mais tempo ou estiver longo demais, descreva quanto nos comentários)</t>
  </si>
  <si>
    <t xml:space="preserve">Você enviou vídeos do treino? </t>
  </si>
  <si>
    <t xml:space="preserve">Você manteve contato quando teve dúvidas? </t>
  </si>
  <si>
    <t xml:space="preserve">Você está sentindo alguma dor ou desconforto? </t>
  </si>
  <si>
    <t>Como foi seu sono?</t>
  </si>
  <si>
    <t xml:space="preserve">Como foi a dieta? </t>
  </si>
  <si>
    <t xml:space="preserve">Você está satisfeito(a) com a progressão da semana? </t>
  </si>
  <si>
    <t>Semana 6 (ENVIAR FOTOS)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</si>
</sst>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%"/>
  </numFmts>
  <fonts count="18">
    <font>
      <sz val="10.0"/>
      <color rgb="FF000000"/>
      <name val="Helvetica Neue"/>
      <scheme val="minor"/>
    </font>
    <font>
      <sz val="12.0"/>
      <color rgb="FF000000"/>
      <name val="Helvetica Neue"/>
    </font>
    <font>
      <sz val="14.0"/>
      <color rgb="FF000000"/>
      <name val="Helvetica Neue"/>
    </font>
    <font>
      <u/>
      <sz val="12.0"/>
      <color rgb="FF0000FF"/>
      <name val="Helvetica Neue"/>
    </font>
    <font>
      <b/>
      <sz val="12.0"/>
      <color rgb="FF000000"/>
      <name val="Helvetica Neue"/>
    </font>
    <font>
      <b/>
      <sz val="15.0"/>
      <color rgb="FF000000"/>
      <name val="Helvetica Neue"/>
    </font>
    <font/>
    <font>
      <b/>
      <sz val="10.0"/>
      <color rgb="FFFEFFFE"/>
      <name val="Helvetica Neue"/>
    </font>
    <font>
      <b/>
      <sz val="10.0"/>
      <color rgb="FF000000"/>
      <name val="Helvetica Neue"/>
    </font>
    <font>
      <b/>
      <sz val="9.0"/>
      <color rgb="FF000000"/>
      <name val="Helvetica Neue"/>
    </font>
    <font>
      <b/>
      <sz val="7.0"/>
      <color rgb="FF000000"/>
      <name val="Helvetica Neue"/>
    </font>
    <font>
      <b/>
      <sz val="7.0"/>
      <color rgb="FFFEFFFE"/>
      <name val="Helvetica Neue"/>
    </font>
    <font>
      <b/>
      <sz val="6.0"/>
      <color rgb="FF000000"/>
      <name val="Helvetica Neue"/>
    </font>
    <font>
      <color theme="1"/>
      <name val="Helvetica Neue"/>
    </font>
    <font>
      <sz val="10.0"/>
      <color rgb="FF000000"/>
      <name val="Helvetica Neue"/>
    </font>
    <font>
      <b/>
      <sz val="8.0"/>
      <color rgb="FF000000"/>
      <name val="Helvetica Neue"/>
    </font>
    <font>
      <sz val="8.0"/>
      <color theme="1"/>
      <name val="Helvetica Neue"/>
    </font>
    <font>
      <sz val="9.0"/>
      <color rgb="FF000000"/>
      <name val="Helvetica Neue"/>
    </font>
  </fonts>
  <fills count="13">
    <fill>
      <patternFill patternType="none"/>
    </fill>
    <fill>
      <patternFill patternType="lightGray"/>
    </fill>
    <fill>
      <patternFill patternType="solid">
        <fgColor rgb="FF5E88B1"/>
        <bgColor rgb="FF5E88B1"/>
      </patternFill>
    </fill>
    <fill>
      <patternFill patternType="solid">
        <fgColor rgb="FFEEF3F4"/>
        <bgColor rgb="FFEEF3F4"/>
      </patternFill>
    </fill>
    <fill>
      <patternFill patternType="solid">
        <fgColor rgb="FFFFD977"/>
        <bgColor rgb="FFFFD977"/>
      </patternFill>
    </fill>
    <fill>
      <patternFill patternType="solid">
        <fgColor rgb="FF000000"/>
        <bgColor rgb="FF000000"/>
      </patternFill>
    </fill>
    <fill>
      <patternFill patternType="solid">
        <fgColor rgb="FFF9DB85"/>
        <bgColor rgb="FFF9DB85"/>
      </patternFill>
    </fill>
    <fill>
      <patternFill patternType="solid">
        <fgColor rgb="FFBDC0BF"/>
        <bgColor rgb="FFBDC0BF"/>
      </patternFill>
    </fill>
    <fill>
      <patternFill patternType="solid">
        <fgColor rgb="FFFEFFFE"/>
        <bgColor rgb="FFFEFFFE"/>
      </patternFill>
    </fill>
    <fill>
      <patternFill patternType="solid">
        <fgColor rgb="FFD5D5D5"/>
        <bgColor rgb="FFD5D5D5"/>
      </patternFill>
    </fill>
    <fill>
      <patternFill patternType="solid">
        <fgColor rgb="FFAFE489"/>
        <bgColor rgb="FFAFE489"/>
      </patternFill>
    </fill>
    <fill>
      <patternFill patternType="solid">
        <fgColor rgb="FFF9DB86"/>
        <bgColor rgb="FFF9DB86"/>
      </patternFill>
    </fill>
    <fill>
      <patternFill patternType="solid">
        <fgColor rgb="FFF9DA85"/>
        <bgColor rgb="FFF9DA85"/>
      </patternFill>
    </fill>
  </fills>
  <borders count="33">
    <border/>
    <border>
      <left/>
      <right/>
      <top/>
      <bottom/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thin">
        <color rgb="FFA5A5A5"/>
      </right>
      <bottom style="thin">
        <color rgb="FF3F3F3F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3F3F3F"/>
      </left>
      <top style="thin">
        <color rgb="FFA5A5A5"/>
      </top>
      <bottom style="thin">
        <color rgb="FFA5A5A5"/>
      </bottom>
    </border>
    <border>
      <left style="thin">
        <color rgb="FFC8C8C8"/>
      </left>
      <top style="thin">
        <color rgb="FFC8C8C8"/>
      </top>
      <bottom style="thin">
        <color rgb="FF89847F"/>
      </bottom>
    </border>
    <border>
      <top style="thin">
        <color rgb="FFC8C8C8"/>
      </top>
      <bottom style="thin">
        <color rgb="FF89847F"/>
      </bottom>
    </border>
    <border>
      <right style="thin">
        <color rgb="FFC8C8C8"/>
      </right>
      <top style="thin">
        <color rgb="FFC8C8C8"/>
      </top>
      <bottom style="thin">
        <color rgb="FF89847F"/>
      </bottom>
    </border>
    <border>
      <left style="thin">
        <color rgb="FFC8C8C8"/>
      </left>
      <right style="thin">
        <color rgb="FFC8C8C8"/>
      </right>
      <top style="thin">
        <color rgb="FF89847F"/>
      </top>
    </border>
    <border>
      <left style="thin">
        <color rgb="FFC8C8C8"/>
      </left>
      <top style="thin">
        <color rgb="FF89847F"/>
      </top>
    </border>
    <border>
      <top style="thin">
        <color rgb="FF89847F"/>
      </top>
    </border>
    <border>
      <right style="thin">
        <color rgb="FFC8C8C8"/>
      </right>
      <top style="thin">
        <color rgb="FF89847F"/>
      </top>
    </border>
    <border>
      <left style="thin">
        <color rgb="FFC8C8C8"/>
      </left>
      <right style="thin">
        <color rgb="FFC8C8C8"/>
      </right>
    </border>
    <border>
      <left style="thin">
        <color rgb="FFC8C8C8"/>
      </left>
    </border>
    <border>
      <right style="thin">
        <color rgb="FFC8C8C8"/>
      </right>
    </border>
    <border>
      <left style="thin">
        <color rgb="FFC8C8C8"/>
      </left>
      <right style="thin">
        <color rgb="FFC8C8C8"/>
      </right>
      <bottom style="thin">
        <color rgb="FFC8C8C8"/>
      </bottom>
    </border>
    <border>
      <left style="thin">
        <color rgb="FFC8C8C8"/>
      </left>
      <bottom style="thin">
        <color rgb="FFC8C8C8"/>
      </bottom>
    </border>
    <border>
      <bottom style="thin">
        <color rgb="FFC8C8C8"/>
      </bottom>
    </border>
    <border>
      <right style="thin">
        <color rgb="FFC8C8C8"/>
      </right>
      <bottom style="thin">
        <color rgb="FFC8C8C8"/>
      </bottom>
    </border>
    <border>
      <left style="thin">
        <color rgb="FFC8C8C8"/>
      </left>
      <right style="thin">
        <color rgb="FFC8C8C8"/>
      </right>
      <top style="thin">
        <color rgb="FFC8C8C8"/>
      </top>
    </border>
    <border>
      <left style="thin">
        <color rgb="FFC8C8C8"/>
      </left>
      <top style="thin">
        <color rgb="FFC8C8C8"/>
      </top>
    </border>
    <border>
      <top style="thin">
        <color rgb="FFC8C8C8"/>
      </top>
    </border>
    <border>
      <right style="thin">
        <color rgb="FFC8C8C8"/>
      </right>
      <top style="thin">
        <color rgb="FFC8C8C8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top" wrapText="1"/>
    </xf>
    <xf borderId="0" fillId="0" fontId="1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1" fillId="2" fontId="1" numFmtId="0" xfId="0" applyAlignment="1" applyBorder="1" applyFill="1" applyFont="1">
      <alignment horizontal="left" shrinkToFit="0" vertical="top" wrapText="1"/>
    </xf>
    <xf borderId="1" fillId="3" fontId="1" numFmtId="0" xfId="0" applyAlignment="1" applyBorder="1" applyFill="1" applyFont="1">
      <alignment horizontal="left" shrinkToFit="0" vertical="top" wrapText="1"/>
    </xf>
    <xf borderId="1" fillId="3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horizontal="center" shrinkToFit="0" vertical="center" wrapText="0"/>
    </xf>
    <xf borderId="2" fillId="4" fontId="5" numFmtId="49" xfId="0" applyAlignment="1" applyBorder="1" applyFill="1" applyFont="1" applyNumberFormat="1">
      <alignment horizontal="center" shrinkToFit="0" vertical="bottom" wrapText="1"/>
    </xf>
    <xf borderId="3" fillId="0" fontId="6" numFmtId="0" xfId="0" applyAlignment="1" applyBorder="1" applyFont="1">
      <alignment shrinkToFit="0" vertical="top" wrapText="1"/>
    </xf>
    <xf borderId="4" fillId="0" fontId="6" numFmtId="0" xfId="0" applyAlignment="1" applyBorder="1" applyFont="1">
      <alignment shrinkToFit="0" vertical="top" wrapText="1"/>
    </xf>
    <xf borderId="5" fillId="4" fontId="5" numFmtId="0" xfId="0" applyAlignment="1" applyBorder="1" applyFont="1">
      <alignment horizontal="center" shrinkToFit="0" vertical="bottom" wrapText="1"/>
    </xf>
    <xf borderId="2" fillId="5" fontId="7" numFmtId="49" xfId="0" applyAlignment="1" applyBorder="1" applyFill="1" applyFont="1" applyNumberFormat="1">
      <alignment horizontal="center" shrinkToFit="0" vertical="center" wrapText="1"/>
    </xf>
    <xf borderId="5" fillId="5" fontId="7" numFmtId="0" xfId="0" applyAlignment="1" applyBorder="1" applyFont="1">
      <alignment horizontal="center" shrinkToFit="0" vertical="center" wrapText="1"/>
    </xf>
    <xf borderId="6" fillId="4" fontId="5" numFmtId="49" xfId="0" applyAlignment="1" applyBorder="1" applyFont="1" applyNumberFormat="1">
      <alignment horizontal="center" shrinkToFit="0" vertical="bottom" wrapText="1"/>
    </xf>
    <xf borderId="2" fillId="4" fontId="8" numFmtId="49" xfId="0" applyAlignment="1" applyBorder="1" applyFont="1" applyNumberFormat="1">
      <alignment horizontal="center" shrinkToFit="0" vertical="center" wrapText="1"/>
    </xf>
    <xf borderId="6" fillId="4" fontId="9" numFmtId="49" xfId="0" applyAlignment="1" applyBorder="1" applyFont="1" applyNumberFormat="1">
      <alignment horizontal="center" shrinkToFit="0" vertical="center" wrapText="1"/>
    </xf>
    <xf borderId="2" fillId="5" fontId="7" numFmtId="49" xfId="0" applyAlignment="1" applyBorder="1" applyFont="1" applyNumberFormat="1">
      <alignment horizontal="center" readingOrder="0" shrinkToFit="0" vertical="center" wrapText="1"/>
    </xf>
    <xf borderId="2" fillId="6" fontId="8" numFmtId="49" xfId="0" applyAlignment="1" applyBorder="1" applyFill="1" applyFont="1" applyNumberFormat="1">
      <alignment horizontal="center" shrinkToFit="0" vertical="center" wrapText="1"/>
    </xf>
    <xf borderId="5" fillId="7" fontId="8" numFmtId="49" xfId="0" applyAlignment="1" applyBorder="1" applyFill="1" applyFont="1" applyNumberFormat="1">
      <alignment shrinkToFit="0" vertical="top" wrapText="1"/>
    </xf>
    <xf borderId="7" fillId="0" fontId="6" numFmtId="0" xfId="0" applyAlignment="1" applyBorder="1" applyFont="1">
      <alignment shrinkToFit="0" vertical="top" wrapText="1"/>
    </xf>
    <xf borderId="8" fillId="4" fontId="5" numFmtId="49" xfId="0" applyAlignment="1" applyBorder="1" applyFont="1" applyNumberFormat="1">
      <alignment horizontal="center" shrinkToFit="0" vertical="center" wrapText="1"/>
    </xf>
    <xf borderId="8" fillId="4" fontId="10" numFmtId="49" xfId="0" applyAlignment="1" applyBorder="1" applyFont="1" applyNumberFormat="1">
      <alignment horizontal="center" shrinkToFit="0" vertical="center" wrapText="1"/>
    </xf>
    <xf borderId="8" fillId="5" fontId="11" numFmtId="49" xfId="0" applyAlignment="1" applyBorder="1" applyFont="1" applyNumberFormat="1">
      <alignment horizontal="center" shrinkToFit="0" vertical="center" wrapText="1"/>
    </xf>
    <xf borderId="8" fillId="4" fontId="12" numFmtId="49" xfId="0" applyAlignment="1" applyBorder="1" applyFont="1" applyNumberFormat="1">
      <alignment horizontal="center" shrinkToFit="0" vertical="center" wrapText="1"/>
    </xf>
    <xf borderId="8" fillId="7" fontId="8" numFmtId="0" xfId="0" applyAlignment="1" applyBorder="1" applyFont="1">
      <alignment shrinkToFit="0" vertical="top" wrapText="1"/>
    </xf>
    <xf borderId="9" fillId="8" fontId="8" numFmtId="49" xfId="0" applyAlignment="1" applyBorder="1" applyFill="1" applyFont="1" applyNumberFormat="1">
      <alignment horizontal="center" shrinkToFit="0" vertical="center" wrapText="1"/>
    </xf>
    <xf borderId="10" fillId="9" fontId="8" numFmtId="0" xfId="0" applyAlignment="1" applyBorder="1" applyFill="1" applyFont="1">
      <alignment horizontal="center" shrinkToFit="0" vertical="center" wrapText="1"/>
    </xf>
    <xf borderId="11" fillId="9" fontId="8" numFmtId="0" xfId="0" applyAlignment="1" applyBorder="1" applyFont="1">
      <alignment horizontal="center" shrinkToFit="0" vertical="center" wrapText="1"/>
    </xf>
    <xf borderId="11" fillId="0" fontId="13" numFmtId="0" xfId="0" applyAlignment="1" applyBorder="1" applyFont="1">
      <alignment horizontal="right" shrinkToFit="0" vertical="top" wrapText="1"/>
    </xf>
    <xf borderId="11" fillId="0" fontId="13" numFmtId="0" xfId="0" applyAlignment="1" applyBorder="1" applyFont="1">
      <alignment horizontal="right" shrinkToFit="0" vertical="top" wrapText="1"/>
    </xf>
    <xf borderId="11" fillId="0" fontId="14" numFmtId="0" xfId="0" applyAlignment="1" applyBorder="1" applyFont="1">
      <alignment horizontal="center" shrinkToFit="0" vertical="center" wrapText="1"/>
    </xf>
    <xf borderId="11" fillId="9" fontId="14" numFmtId="0" xfId="0" applyAlignment="1" applyBorder="1" applyFont="1">
      <alignment horizontal="center" shrinkToFit="0" vertical="center" wrapText="1"/>
    </xf>
    <xf borderId="11" fillId="9" fontId="14" numFmtId="2" xfId="0" applyAlignment="1" applyBorder="1" applyFont="1" applyNumberFormat="1">
      <alignment horizontal="center" shrinkToFit="0" vertical="center" wrapText="1"/>
    </xf>
    <xf borderId="11" fillId="0" fontId="13" numFmtId="0" xfId="0" applyAlignment="1" applyBorder="1" applyFont="1">
      <alignment horizontal="center" readingOrder="0" shrinkToFit="0" vertical="top" wrapText="1"/>
    </xf>
    <xf borderId="11" fillId="0" fontId="13" numFmtId="2" xfId="0" applyAlignment="1" applyBorder="1" applyFont="1" applyNumberFormat="1">
      <alignment horizontal="center" readingOrder="0" shrinkToFit="0" vertical="top" wrapText="1"/>
    </xf>
    <xf borderId="11" fillId="0" fontId="13" numFmtId="0" xfId="0" applyAlignment="1" applyBorder="1" applyFont="1">
      <alignment horizontal="center" shrinkToFit="0" vertical="top" wrapText="1"/>
    </xf>
    <xf borderId="11" fillId="0" fontId="13" numFmtId="2" xfId="0" applyAlignment="1" applyBorder="1" applyFont="1" applyNumberFormat="1">
      <alignment horizontal="center" shrinkToFit="0" vertical="top" wrapText="1"/>
    </xf>
    <xf borderId="11" fillId="10" fontId="13" numFmtId="0" xfId="0" applyAlignment="1" applyBorder="1" applyFill="1" applyFont="1">
      <alignment horizontal="center" shrinkToFit="0" vertical="top" wrapText="1"/>
    </xf>
    <xf borderId="11" fillId="0" fontId="14" numFmtId="2" xfId="0" applyAlignment="1" applyBorder="1" applyFont="1" applyNumberFormat="1">
      <alignment horizontal="center" shrinkToFit="0" vertical="center" wrapText="1"/>
    </xf>
    <xf borderId="11" fillId="4" fontId="14" numFmtId="164" xfId="0" applyAlignment="1" applyBorder="1" applyFont="1" applyNumberFormat="1">
      <alignment horizontal="center" shrinkToFit="0" vertical="center" wrapText="1"/>
    </xf>
    <xf borderId="11" fillId="0" fontId="14" numFmtId="0" xfId="0" applyAlignment="1" applyBorder="1" applyFont="1">
      <alignment shrinkToFit="0" vertical="top" wrapText="1"/>
    </xf>
    <xf borderId="12" fillId="8" fontId="8" numFmtId="49" xfId="0" applyAlignment="1" applyBorder="1" applyFont="1" applyNumberFormat="1">
      <alignment horizontal="center" shrinkToFit="0" vertical="center" wrapText="1"/>
    </xf>
    <xf borderId="13" fillId="9" fontId="8" numFmtId="0" xfId="0" applyAlignment="1" applyBorder="1" applyFont="1">
      <alignment horizontal="center" shrinkToFit="0" vertical="center" wrapText="1"/>
    </xf>
    <xf borderId="5" fillId="9" fontId="8" numFmtId="0" xfId="0" applyAlignment="1" applyBorder="1" applyFont="1">
      <alignment horizontal="center" shrinkToFit="0" vertical="center" wrapText="1"/>
    </xf>
    <xf borderId="5" fillId="0" fontId="13" numFmtId="0" xfId="0" applyAlignment="1" applyBorder="1" applyFont="1">
      <alignment shrinkToFit="0" vertical="top" wrapText="1"/>
    </xf>
    <xf borderId="5" fillId="0" fontId="13" numFmtId="0" xfId="0" applyAlignment="1" applyBorder="1" applyFont="1">
      <alignment horizontal="center" shrinkToFit="0" vertical="top" wrapText="1"/>
    </xf>
    <xf borderId="5" fillId="0" fontId="13" numFmtId="0" xfId="0" applyAlignment="1" applyBorder="1" applyFont="1">
      <alignment horizontal="center" shrinkToFit="0" vertical="top" wrapText="1"/>
    </xf>
    <xf borderId="5" fillId="0" fontId="14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center" shrinkToFit="0" vertical="center" wrapText="1"/>
    </xf>
    <xf borderId="5" fillId="9" fontId="14" numFmtId="2" xfId="0" applyAlignment="1" applyBorder="1" applyFont="1" applyNumberFormat="1">
      <alignment horizontal="center" shrinkToFit="0" vertical="center" wrapText="1"/>
    </xf>
    <xf borderId="11" fillId="10" fontId="13" numFmtId="0" xfId="0" applyAlignment="1" applyBorder="1" applyFont="1">
      <alignment horizontal="center" readingOrder="0" shrinkToFit="0" vertical="top" wrapText="1"/>
    </xf>
    <xf borderId="5" fillId="0" fontId="13" numFmtId="2" xfId="0" applyAlignment="1" applyBorder="1" applyFont="1" applyNumberFormat="1">
      <alignment horizontal="center" readingOrder="0" shrinkToFit="0" vertical="top" wrapText="1"/>
    </xf>
    <xf borderId="5" fillId="0" fontId="13" numFmtId="0" xfId="0" applyAlignment="1" applyBorder="1" applyFont="1">
      <alignment horizontal="center" shrinkToFit="0" vertical="top" wrapText="1"/>
    </xf>
    <xf borderId="5" fillId="0" fontId="13" numFmtId="2" xfId="0" applyAlignment="1" applyBorder="1" applyFont="1" applyNumberFormat="1">
      <alignment horizontal="center" shrinkToFit="0" vertical="top" wrapText="1"/>
    </xf>
    <xf borderId="5" fillId="0" fontId="14" numFmtId="2" xfId="0" applyAlignment="1" applyBorder="1" applyFont="1" applyNumberFormat="1">
      <alignment horizontal="center" shrinkToFit="0" vertical="center" wrapText="1"/>
    </xf>
    <xf borderId="5" fillId="4" fontId="14" numFmtId="164" xfId="0" applyAlignment="1" applyBorder="1" applyFont="1" applyNumberFormat="1">
      <alignment horizontal="center" shrinkToFit="0" vertical="center" wrapText="1"/>
    </xf>
    <xf borderId="5" fillId="0" fontId="14" numFmtId="0" xfId="0" applyAlignment="1" applyBorder="1" applyFont="1">
      <alignment shrinkToFit="0" vertical="top" wrapText="1"/>
    </xf>
    <xf borderId="12" fillId="4" fontId="8" numFmtId="0" xfId="0" applyAlignment="1" applyBorder="1" applyFont="1">
      <alignment horizontal="center" shrinkToFit="0" vertical="center" wrapText="1"/>
    </xf>
    <xf borderId="14" fillId="11" fontId="14" numFmtId="0" xfId="0" applyAlignment="1" applyBorder="1" applyFill="1" applyFont="1">
      <alignment horizontal="center" shrinkToFit="0" vertical="center" wrapText="1"/>
    </xf>
    <xf borderId="5" fillId="10" fontId="13" numFmtId="0" xfId="0" applyAlignment="1" applyBorder="1" applyFont="1">
      <alignment horizontal="center" shrinkToFit="0" vertical="top" wrapText="1"/>
    </xf>
    <xf borderId="5" fillId="0" fontId="14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center" readingOrder="0" shrinkToFit="0" vertical="top" wrapText="1"/>
    </xf>
    <xf borderId="5" fillId="12" fontId="14" numFmtId="164" xfId="0" applyAlignment="1" applyBorder="1" applyFill="1" applyFont="1" applyNumberFormat="1">
      <alignment horizontal="center" shrinkToFit="0" vertical="center" wrapText="1"/>
    </xf>
    <xf borderId="0" fillId="0" fontId="14" numFmtId="0" xfId="0" applyAlignment="1" applyFont="1">
      <alignment shrinkToFit="0" vertical="top" wrapText="1"/>
    </xf>
    <xf borderId="8" fillId="5" fontId="7" numFmtId="0" xfId="0" applyAlignment="1" applyBorder="1" applyFont="1">
      <alignment horizontal="center" shrinkToFit="0" vertical="center" wrapText="0"/>
    </xf>
    <xf borderId="8" fillId="5" fontId="7" numFmtId="49" xfId="0" applyAlignment="1" applyBorder="1" applyFont="1" applyNumberFormat="1">
      <alignment horizontal="center" shrinkToFit="0" vertical="center" wrapText="0"/>
    </xf>
    <xf borderId="8" fillId="5" fontId="7" numFmtId="49" xfId="0" applyAlignment="1" applyBorder="1" applyFont="1" applyNumberFormat="1">
      <alignment horizontal="center" readingOrder="0" shrinkToFit="0" vertical="center" wrapText="0"/>
    </xf>
    <xf borderId="9" fillId="4" fontId="8" numFmtId="49" xfId="0" applyAlignment="1" applyBorder="1" applyFont="1" applyNumberFormat="1">
      <alignment horizontal="center" shrinkToFit="0" vertical="center" wrapText="1"/>
    </xf>
    <xf borderId="10" fillId="0" fontId="13" numFmtId="0" xfId="0" applyAlignment="1" applyBorder="1" applyFont="1">
      <alignment horizontal="center" shrinkToFit="0" vertical="top" wrapText="1"/>
    </xf>
    <xf borderId="11" fillId="0" fontId="14" numFmtId="0" xfId="0" applyAlignment="1" applyBorder="1" applyFont="1">
      <alignment horizontal="center" readingOrder="0" shrinkToFit="0" vertical="center" wrapText="1"/>
    </xf>
    <xf borderId="12" fillId="4" fontId="8" numFmtId="49" xfId="0" applyAlignment="1" applyBorder="1" applyFont="1" applyNumberFormat="1">
      <alignment horizontal="center" shrinkToFit="0" vertical="center" wrapText="1"/>
    </xf>
    <xf borderId="13" fillId="0" fontId="13" numFmtId="0" xfId="0" applyAlignment="1" applyBorder="1" applyFont="1">
      <alignment horizontal="center" shrinkToFit="0" vertical="top" wrapText="1"/>
    </xf>
    <xf borderId="12" fillId="4" fontId="10" numFmtId="49" xfId="0" applyAlignment="1" applyBorder="1" applyFont="1" applyNumberFormat="1">
      <alignment horizontal="center" shrinkToFit="0" vertical="center" wrapText="1"/>
    </xf>
    <xf borderId="12" fillId="4" fontId="12" numFmtId="49" xfId="0" applyAlignment="1" applyBorder="1" applyFont="1" applyNumberFormat="1">
      <alignment horizontal="center" shrinkToFit="0" vertical="center" wrapText="1"/>
    </xf>
    <xf borderId="12" fillId="4" fontId="9" numFmtId="49" xfId="0" applyAlignment="1" applyBorder="1" applyFont="1" applyNumberFormat="1">
      <alignment horizontal="center" shrinkToFit="0" vertical="center" wrapText="1"/>
    </xf>
    <xf borderId="12" fillId="4" fontId="15" numFmtId="49" xfId="0" applyAlignment="1" applyBorder="1" applyFont="1" applyNumberFormat="1">
      <alignment horizontal="center" shrinkToFit="0" vertical="center" wrapText="1"/>
    </xf>
    <xf borderId="15" fillId="5" fontId="8" numFmtId="0" xfId="0" applyAlignment="1" applyBorder="1" applyFont="1">
      <alignment shrinkToFit="0" vertical="top" wrapText="0"/>
    </xf>
    <xf borderId="16" fillId="0" fontId="6" numFmtId="0" xfId="0" applyAlignment="1" applyBorder="1" applyFont="1">
      <alignment shrinkToFit="0" vertical="top" wrapText="1"/>
    </xf>
    <xf borderId="17" fillId="0" fontId="6" numFmtId="0" xfId="0" applyAlignment="1" applyBorder="1" applyFont="1">
      <alignment shrinkToFit="0" vertical="top" wrapText="1"/>
    </xf>
    <xf borderId="18" fillId="4" fontId="8" numFmtId="49" xfId="0" applyAlignment="1" applyBorder="1" applyFont="1" applyNumberFormat="1">
      <alignment horizontal="center" shrinkToFit="0" vertical="center" wrapText="1"/>
    </xf>
    <xf borderId="19" fillId="0" fontId="16" numFmtId="0" xfId="0" applyAlignment="1" applyBorder="1" applyFont="1">
      <alignment shrinkToFit="0" vertical="top" wrapText="1"/>
    </xf>
    <xf borderId="20" fillId="0" fontId="6" numFmtId="0" xfId="0" applyAlignment="1" applyBorder="1" applyFont="1">
      <alignment shrinkToFit="0" vertical="top" wrapText="1"/>
    </xf>
    <xf borderId="21" fillId="0" fontId="6" numFmtId="0" xfId="0" applyAlignment="1" applyBorder="1" applyFont="1">
      <alignment shrinkToFit="0" vertical="top" wrapText="1"/>
    </xf>
    <xf borderId="22" fillId="0" fontId="6" numFmtId="0" xfId="0" applyAlignment="1" applyBorder="1" applyFont="1">
      <alignment shrinkToFit="0" vertical="top" wrapText="1"/>
    </xf>
    <xf borderId="23" fillId="0" fontId="6" numFmtId="0" xfId="0" applyAlignment="1" applyBorder="1" applyFont="1">
      <alignment shrinkToFit="0" vertical="top" wrapText="1"/>
    </xf>
    <xf borderId="24" fillId="0" fontId="6" numFmtId="0" xfId="0" applyAlignment="1" applyBorder="1" applyFont="1">
      <alignment shrinkToFit="0" vertical="top" wrapText="1"/>
    </xf>
    <xf borderId="25" fillId="0" fontId="6" numFmtId="0" xfId="0" applyAlignment="1" applyBorder="1" applyFont="1">
      <alignment shrinkToFit="0" vertical="top" wrapText="1"/>
    </xf>
    <xf borderId="26" fillId="0" fontId="6" numFmtId="0" xfId="0" applyAlignment="1" applyBorder="1" applyFont="1">
      <alignment shrinkToFit="0" vertical="top" wrapText="1"/>
    </xf>
    <xf borderId="27" fillId="0" fontId="6" numFmtId="0" xfId="0" applyAlignment="1" applyBorder="1" applyFont="1">
      <alignment shrinkToFit="0" vertical="top" wrapText="1"/>
    </xf>
    <xf borderId="28" fillId="0" fontId="6" numFmtId="0" xfId="0" applyAlignment="1" applyBorder="1" applyFont="1">
      <alignment shrinkToFit="0" vertical="top" wrapText="1"/>
    </xf>
    <xf borderId="29" fillId="4" fontId="8" numFmtId="49" xfId="0" applyAlignment="1" applyBorder="1" applyFont="1" applyNumberFormat="1">
      <alignment horizontal="center" shrinkToFit="0" vertical="center" wrapText="1"/>
    </xf>
    <xf borderId="30" fillId="0" fontId="16" numFmtId="0" xfId="0" applyAlignment="1" applyBorder="1" applyFont="1">
      <alignment shrinkToFit="0" vertical="top" wrapText="1"/>
    </xf>
    <xf borderId="31" fillId="0" fontId="6" numFmtId="0" xfId="0" applyAlignment="1" applyBorder="1" applyFont="1">
      <alignment shrinkToFit="0" vertical="top" wrapText="1"/>
    </xf>
    <xf borderId="32" fillId="0" fontId="6" numFmtId="0" xfId="0" applyAlignment="1" applyBorder="1" applyFont="1">
      <alignment shrinkToFit="0" vertical="top" wrapText="1"/>
    </xf>
    <xf borderId="30" fillId="0" fontId="17" numFmtId="0" xfId="0" applyAlignment="1" applyBorder="1" applyFont="1">
      <alignment readingOrder="0" shrinkToFit="0" vertical="top" wrapText="1"/>
    </xf>
    <xf borderId="29" fillId="4" fontId="8" numFmtId="49" xfId="0" applyAlignment="1" applyBorder="1" applyFont="1" applyNumberFormat="1">
      <alignment horizontal="center" readingOrder="0" shrinkToFit="0" vertical="center" wrapText="1"/>
    </xf>
    <xf borderId="30" fillId="0" fontId="14" numFmtId="0" xfId="0" applyAlignment="1" applyBorder="1" applyFont="1">
      <alignment shrinkToFit="0" vertical="top" wrapText="1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AFE489"/>
          <bgColor rgb="FFAFE489"/>
        </patternFill>
      </fill>
      <border/>
    </dxf>
    <dxf>
      <font>
        <color rgb="FF000000"/>
      </font>
      <fill>
        <patternFill patternType="solid">
          <fgColor rgb="FFFFFC98"/>
          <bgColor rgb="FFFFFC98"/>
        </patternFill>
      </fill>
      <border/>
    </dxf>
    <dxf>
      <font>
        <color rgb="FF000000"/>
      </font>
      <fill>
        <patternFill patternType="solid">
          <fgColor rgb="FFFF9781"/>
          <bgColor rgb="FFFF9781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638175</xdr:colOff>
      <xdr:row>0</xdr:row>
      <xdr:rowOff>-19050</xdr:rowOff>
    </xdr:from>
    <xdr:ext cx="8553450" cy="8658225"/>
    <xdr:sp>
      <xdr:nvSpPr>
        <xdr:cNvPr id="3" name="Shape 3"/>
        <xdr:cNvSpPr txBox="1"/>
      </xdr:nvSpPr>
      <xdr:spPr>
        <a:xfrm>
          <a:off x="1093088" y="0"/>
          <a:ext cx="8505825" cy="7560000"/>
        </a:xfrm>
        <a:prstGeom prst="rect">
          <a:avLst/>
        </a:prstGeom>
        <a:solidFill>
          <a:schemeClr val="accent4"/>
        </a:solidFill>
        <a:ln cap="flat" cmpd="sng" w="50800">
          <a:solidFill>
            <a:srgbClr val="000000"/>
          </a:solidFill>
          <a:prstDash val="solid"/>
          <a:miter lim="4000"/>
          <a:headEnd len="sm" w="sm" type="none"/>
          <a:tailEnd len="sm" w="sm" type="none"/>
        </a:ln>
      </xdr:spPr>
      <xdr:txBody>
        <a:bodyPr anchorCtr="0" anchor="t" bIns="50800" lIns="50800" spcFirstLastPara="1" rIns="50800" wrap="square" tIns="50800">
          <a:sp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3700"/>
            <a:buFont typeface="Helvetica Neue"/>
            <a:buNone/>
          </a:pPr>
          <a:r>
            <a:rPr b="1" i="0" lang="en-US" sz="37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Como preencher a planilha de cargas: </a:t>
          </a:r>
          <a:endParaRPr b="1" i="0" sz="37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Registre apenas as séries de cor laranja e vermelha.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Logo após uma série, registre o peso utilizado e o número de repetições feitas.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Repita esse processo de acordo com o número de séries prescritas em cada exercício.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Ao final do treino, você terá um valor de “carga total” e “média de repetições”.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Copie esse valor nas colunas pretas, à direta, logo abaixo da área da “semana 1”.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Repita esse processo para cada treino, até completar a semana.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Na semana seguinte, quando for repetir o primeiro treino, edite os valores prévios de acordo com o que fizer. Lembre que sua meta agora é superar o que fez na semana anterior, seja realizando mais repetições com o mesmo peso ou aumentando o peso para realizar o mesmo número de repetições.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Ao final do treino, você terá um novo valor de “carga total” e “média de repetições”.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Copie esse valor nas colunas pretas, à direta, mas agora abaixo da área da “semana 2”.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-228600" lvl="0" marL="22860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AutoNum type="arabicParenR"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Repita esse processo até finalizar o treino.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Helvetica Neue"/>
            <a:buNone/>
          </a:pPr>
          <a:r>
            <a:t/>
          </a:r>
          <a:endParaRPr b="0" i="0" sz="11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Helvetica Neue"/>
            <a:buNone/>
          </a:pPr>
          <a:r>
            <a:t/>
          </a:r>
          <a:endParaRPr b="0" i="0" sz="11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638175</xdr:colOff>
      <xdr:row>51</xdr:row>
      <xdr:rowOff>95250</xdr:rowOff>
    </xdr:from>
    <xdr:ext cx="8553450" cy="3333750"/>
    <xdr:sp>
      <xdr:nvSpPr>
        <xdr:cNvPr id="4" name="Shape 4"/>
        <xdr:cNvSpPr txBox="1"/>
      </xdr:nvSpPr>
      <xdr:spPr>
        <a:xfrm>
          <a:off x="1093088" y="2141700"/>
          <a:ext cx="8505825" cy="3276600"/>
        </a:xfrm>
        <a:prstGeom prst="rect">
          <a:avLst/>
        </a:prstGeom>
        <a:solidFill>
          <a:schemeClr val="accent4"/>
        </a:solidFill>
        <a:ln cap="flat" cmpd="sng" w="50800">
          <a:solidFill>
            <a:srgbClr val="000000"/>
          </a:solidFill>
          <a:prstDash val="solid"/>
          <a:miter lim="4000"/>
          <a:headEnd len="sm" w="sm" type="none"/>
          <a:tailEnd len="sm" w="sm" type="none"/>
        </a:ln>
      </xdr:spPr>
      <xdr:txBody>
        <a:bodyPr anchorCtr="0" anchor="t" bIns="50800" lIns="50800" spcFirstLastPara="1" rIns="50800" wrap="square" tIns="50800">
          <a:sp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3700"/>
            <a:buFont typeface="Helvetica Neue"/>
            <a:buNone/>
          </a:pPr>
          <a:r>
            <a:rPr b="1" i="0" lang="en-US" sz="37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Como preencher a planilha de feedbacks: </a:t>
          </a:r>
          <a:endParaRPr b="1" i="0" sz="37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Semanalmente você deve registrar sua percepção em relação ao período.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Preencha cada célula usando as palavras descritas em cada linha, com a que achar que esta mais condizente com como você se sente!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Abaixo dessa tabela, você tem uma área onde pode escrever comentários sobre a semana para dar mais detalhes de como se sentiu.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638175</xdr:colOff>
      <xdr:row>72</xdr:row>
      <xdr:rowOff>85725</xdr:rowOff>
    </xdr:from>
    <xdr:ext cx="8553450" cy="3876675"/>
    <xdr:sp>
      <xdr:nvSpPr>
        <xdr:cNvPr id="5" name="Shape 5"/>
        <xdr:cNvSpPr txBox="1"/>
      </xdr:nvSpPr>
      <xdr:spPr>
        <a:xfrm>
          <a:off x="1093088" y="1865475"/>
          <a:ext cx="8505825" cy="3829050"/>
        </a:xfrm>
        <a:prstGeom prst="rect">
          <a:avLst/>
        </a:prstGeom>
        <a:solidFill>
          <a:schemeClr val="accent4"/>
        </a:solidFill>
        <a:ln cap="flat" cmpd="sng" w="50800">
          <a:solidFill>
            <a:srgbClr val="000000"/>
          </a:solidFill>
          <a:prstDash val="solid"/>
          <a:miter lim="4000"/>
          <a:headEnd len="sm" w="sm" type="none"/>
          <a:tailEnd len="sm" w="sm" type="none"/>
        </a:ln>
      </xdr:spPr>
      <xdr:txBody>
        <a:bodyPr anchorCtr="0" anchor="t" bIns="50800" lIns="50800" spcFirstLastPara="1" rIns="50800" wrap="square" tIns="50800">
          <a:sp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3700"/>
            <a:buFont typeface="Helvetica Neue"/>
            <a:buNone/>
          </a:pPr>
          <a:r>
            <a:rPr b="1" i="0" lang="en-US" sz="37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Quando enviar as planilhas: </a:t>
          </a:r>
          <a:endParaRPr b="1" i="0" sz="37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Ao final de cada semana ou a cada duas semanas você deve me encaminhar o arquivo em formato PDF para acompanhamento.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Ao finalizar a semana 5 (geralmente sexta ou sábado) ou ao iniciar a semana 6 (geralmente segunda) você deve me enviar o arquivo em formato PDF junto de fotos para revisão do bloco.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Atrasos no envio resultarão em atraso na revisão e envio do programa atualizado. 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638175</xdr:colOff>
      <xdr:row>95</xdr:row>
      <xdr:rowOff>38100</xdr:rowOff>
    </xdr:from>
    <xdr:ext cx="8553450" cy="4314825"/>
    <xdr:sp>
      <xdr:nvSpPr>
        <xdr:cNvPr id="6" name="Shape 6"/>
        <xdr:cNvSpPr txBox="1"/>
      </xdr:nvSpPr>
      <xdr:spPr>
        <a:xfrm>
          <a:off x="1093088" y="1646400"/>
          <a:ext cx="8505825" cy="4267200"/>
        </a:xfrm>
        <a:prstGeom prst="rect">
          <a:avLst/>
        </a:prstGeom>
        <a:solidFill>
          <a:schemeClr val="accent4"/>
        </a:solidFill>
        <a:ln cap="flat" cmpd="sng" w="50800">
          <a:solidFill>
            <a:srgbClr val="000000"/>
          </a:solidFill>
          <a:prstDash val="solid"/>
          <a:miter lim="4000"/>
          <a:headEnd len="sm" w="sm" type="none"/>
          <a:tailEnd len="sm" w="sm" type="none"/>
        </a:ln>
      </xdr:spPr>
      <xdr:txBody>
        <a:bodyPr anchorCtr="0" anchor="t" bIns="50800" lIns="50800" spcFirstLastPara="1" rIns="50800" wrap="square" tIns="50800">
          <a:sp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3700"/>
            <a:buFont typeface="Helvetica Neue"/>
            <a:buNone/>
          </a:pPr>
          <a:r>
            <a:rPr b="1" i="0" lang="en-US" sz="37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Quando enviar as fotos: </a:t>
          </a:r>
          <a:endParaRPr b="1" i="0" sz="37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Ao finalizar a semana 5 (geralmente sexta ou sábado) ou ao iniciar a semana 6 (geralmente segunda) você deve me enviar o arquivo em formato PDF junto de fotos para revisão do bloco.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Tire as fotos sempre da mesma posição, distancia da câmera, altura e luz (padronize isso porque é importante e ajuda na avaliação).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Faça as fotos com uma parede lisa/branca de fundo.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indent="0" lvl="0" marL="0" marR="0" rtl="0" algn="l">
            <a:lnSpc>
              <a:spcPct val="13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2000"/>
            <a:buFont typeface="Helvetica Neue"/>
            <a:buNone/>
          </a:pPr>
          <a:r>
            <a:rPr b="0" i="0" lang="en-US" sz="2000" u="none" cap="none" strike="noStrike">
              <a:solidFill>
                <a:srgbClr val="000000"/>
              </a:solidFill>
              <a:latin typeface="Helvetica Neue"/>
              <a:ea typeface="Helvetica Neue"/>
              <a:cs typeface="Helvetica Neue"/>
              <a:sym typeface="Helvetica Neue"/>
            </a:rPr>
            <a:t>Fotos de frente/costas/lados relaxado(a) e com os braços ao lado do corpo.  </a:t>
          </a:r>
          <a:endParaRPr b="0" i="0" sz="2000" u="none" cap="none" strike="noStrike">
            <a:solidFill>
              <a:srgbClr val="000000"/>
            </a:solidFill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showGridLines="0" workbookViewId="0"/>
  </sheetViews>
  <sheetFormatPr customHeight="1" defaultColWidth="14.43" defaultRowHeight="15.0"/>
  <cols>
    <col customWidth="1" min="1" max="1" width="2.0"/>
    <col customWidth="1" min="2" max="4" width="33.57"/>
    <col customWidth="1" min="5" max="26" width="10.0"/>
  </cols>
  <sheetData>
    <row r="1" ht="12.75" customHeight="1"/>
    <row r="2" ht="12.75" customHeight="1"/>
    <row r="3" ht="49.5" customHeight="1">
      <c r="B3" s="1" t="s">
        <v>0</v>
      </c>
    </row>
    <row r="4" ht="12.75" customHeight="1"/>
    <row r="5" ht="12.75" customHeight="1"/>
    <row r="6" ht="12.75" customHeight="1"/>
    <row r="7" ht="12.75" customHeight="1">
      <c r="B7" s="2" t="s">
        <v>1</v>
      </c>
      <c r="C7" s="2" t="s">
        <v>2</v>
      </c>
      <c r="D7" s="2" t="s">
        <v>3</v>
      </c>
    </row>
    <row r="8" ht="12.75" customHeight="1"/>
    <row r="9" ht="12.75" customHeight="1">
      <c r="B9" s="3" t="s">
        <v>4</v>
      </c>
      <c r="C9" s="3"/>
      <c r="D9" s="3"/>
    </row>
    <row r="10" ht="12.75" customHeight="1">
      <c r="B10" s="4"/>
      <c r="C10" s="4" t="s">
        <v>5</v>
      </c>
      <c r="D10" s="5" t="s">
        <v>4</v>
      </c>
    </row>
    <row r="11" ht="12.75" customHeight="1">
      <c r="B11" s="3" t="s">
        <v>6</v>
      </c>
      <c r="C11" s="3"/>
      <c r="D11" s="3"/>
    </row>
    <row r="12" ht="12.75" customHeight="1">
      <c r="B12" s="4"/>
      <c r="C12" s="4" t="s">
        <v>7</v>
      </c>
      <c r="D12" s="5" t="s">
        <v>8</v>
      </c>
    </row>
    <row r="13" ht="12.75" customHeight="1">
      <c r="B13" s="3" t="s">
        <v>9</v>
      </c>
      <c r="C13" s="3"/>
      <c r="D13" s="3"/>
    </row>
    <row r="14" ht="12.75" customHeight="1">
      <c r="B14" s="4"/>
      <c r="C14" s="4" t="s">
        <v>10</v>
      </c>
      <c r="D14" s="5" t="s">
        <v>11</v>
      </c>
    </row>
    <row r="15" ht="12.75" customHeight="1">
      <c r="B15" s="4"/>
      <c r="C15" s="4" t="s">
        <v>12</v>
      </c>
      <c r="D15" s="5" t="s">
        <v>13</v>
      </c>
    </row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B3:D3"/>
  </mergeCells>
  <hyperlinks>
    <hyperlink display="como preencher" location="'como preencher'!R1C1" ref="D10"/>
    <hyperlink display="cargas - Planilha para acompanh" location="'cargas - Planilha para acompanh'!R2C1" ref="D12"/>
    <hyperlink display="feedback - Feedback do período" location="'feedback - Feedback do período'!R2C1" ref="D14"/>
    <hyperlink display="feedback - Comentários" location="'feedback - Comentários'!R2C1" ref="D15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10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5" right="0.5" top="0.75"/>
  <pageSetup scale="72"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8.29"/>
    <col customWidth="1" min="2" max="4" width="8.29"/>
    <col customWidth="1" min="5" max="5" width="4.71"/>
    <col customWidth="1" min="6" max="6" width="8.29"/>
    <col customWidth="1" min="7" max="7" width="4.71"/>
    <col customWidth="1" min="8" max="8" width="8.29"/>
    <col customWidth="1" min="9" max="9" width="4.71"/>
    <col customWidth="1" min="10" max="10" width="8.29"/>
    <col customWidth="1" min="11" max="11" width="4.71"/>
    <col customWidth="1" min="12" max="12" width="8.29"/>
    <col customWidth="1" min="13" max="13" width="4.71"/>
    <col customWidth="1" min="14" max="14" width="8.29"/>
    <col customWidth="1" min="15" max="15" width="4.71"/>
    <col customWidth="1" min="16" max="16" width="8.29"/>
    <col customWidth="1" min="17" max="17" width="4.71"/>
    <col customWidth="1" min="18" max="19" width="10.0"/>
    <col customWidth="1" min="20" max="35" width="11.71"/>
    <col customWidth="1" hidden="1" min="36" max="36" width="16.29"/>
  </cols>
  <sheetData>
    <row r="1" ht="28.5" customHeight="1">
      <c r="A1" s="6" t="s">
        <v>7</v>
      </c>
    </row>
    <row r="2" ht="30.0" customHeight="1">
      <c r="A2" s="7" t="s">
        <v>14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9"/>
      <c r="S2" s="10"/>
      <c r="T2" s="11" t="s">
        <v>15</v>
      </c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9"/>
      <c r="AI2" s="12"/>
      <c r="AJ2" s="12"/>
    </row>
    <row r="3" ht="30.0" customHeight="1">
      <c r="A3" s="13" t="s">
        <v>16</v>
      </c>
      <c r="B3" s="14" t="s">
        <v>17</v>
      </c>
      <c r="C3" s="9"/>
      <c r="D3" s="14" t="s">
        <v>18</v>
      </c>
      <c r="E3" s="9"/>
      <c r="F3" s="14" t="s">
        <v>19</v>
      </c>
      <c r="G3" s="9"/>
      <c r="H3" s="14" t="s">
        <v>20</v>
      </c>
      <c r="I3" s="9"/>
      <c r="J3" s="14" t="s">
        <v>21</v>
      </c>
      <c r="K3" s="9"/>
      <c r="L3" s="14" t="s">
        <v>22</v>
      </c>
      <c r="M3" s="9"/>
      <c r="N3" s="14" t="s">
        <v>23</v>
      </c>
      <c r="O3" s="9"/>
      <c r="P3" s="14" t="s">
        <v>24</v>
      </c>
      <c r="Q3" s="9"/>
      <c r="R3" s="15" t="s">
        <v>25</v>
      </c>
      <c r="S3" s="15" t="s">
        <v>26</v>
      </c>
      <c r="T3" s="11" t="s">
        <v>27</v>
      </c>
      <c r="U3" s="9"/>
      <c r="V3" s="11" t="s">
        <v>28</v>
      </c>
      <c r="W3" s="9"/>
      <c r="X3" s="11" t="s">
        <v>29</v>
      </c>
      <c r="Y3" s="9"/>
      <c r="Z3" s="11" t="s">
        <v>30</v>
      </c>
      <c r="AA3" s="9"/>
      <c r="AB3" s="11" t="s">
        <v>31</v>
      </c>
      <c r="AC3" s="9"/>
      <c r="AD3" s="11" t="s">
        <v>32</v>
      </c>
      <c r="AE3" s="9"/>
      <c r="AF3" s="16" t="s">
        <v>33</v>
      </c>
      <c r="AG3" s="9"/>
      <c r="AH3" s="17" t="s">
        <v>34</v>
      </c>
      <c r="AI3" s="9"/>
      <c r="AJ3" s="18" t="s">
        <v>35</v>
      </c>
    </row>
    <row r="4" ht="30.0" customHeight="1">
      <c r="A4" s="19"/>
      <c r="B4" s="20" t="s">
        <v>36</v>
      </c>
      <c r="C4" s="20" t="s">
        <v>37</v>
      </c>
      <c r="D4" s="21" t="s">
        <v>38</v>
      </c>
      <c r="E4" s="21" t="s">
        <v>39</v>
      </c>
      <c r="F4" s="21" t="s">
        <v>38</v>
      </c>
      <c r="G4" s="21" t="s">
        <v>39</v>
      </c>
      <c r="H4" s="21" t="s">
        <v>38</v>
      </c>
      <c r="I4" s="21" t="s">
        <v>39</v>
      </c>
      <c r="J4" s="21" t="s">
        <v>38</v>
      </c>
      <c r="K4" s="21" t="s">
        <v>39</v>
      </c>
      <c r="L4" s="21" t="s">
        <v>38</v>
      </c>
      <c r="M4" s="21" t="s">
        <v>39</v>
      </c>
      <c r="N4" s="21" t="s">
        <v>38</v>
      </c>
      <c r="O4" s="21" t="s">
        <v>39</v>
      </c>
      <c r="P4" s="21" t="s">
        <v>38</v>
      </c>
      <c r="Q4" s="21" t="s">
        <v>39</v>
      </c>
      <c r="R4" s="19"/>
      <c r="S4" s="19"/>
      <c r="T4" s="22" t="s">
        <v>40</v>
      </c>
      <c r="U4" s="22" t="s">
        <v>26</v>
      </c>
      <c r="V4" s="22" t="s">
        <v>40</v>
      </c>
      <c r="W4" s="22" t="s">
        <v>26</v>
      </c>
      <c r="X4" s="22" t="s">
        <v>40</v>
      </c>
      <c r="Y4" s="22" t="s">
        <v>26</v>
      </c>
      <c r="Z4" s="22" t="s">
        <v>40</v>
      </c>
      <c r="AA4" s="22" t="s">
        <v>26</v>
      </c>
      <c r="AB4" s="22" t="s">
        <v>40</v>
      </c>
      <c r="AC4" s="22" t="s">
        <v>26</v>
      </c>
      <c r="AD4" s="22" t="s">
        <v>40</v>
      </c>
      <c r="AE4" s="22" t="s">
        <v>26</v>
      </c>
      <c r="AF4" s="22" t="s">
        <v>40</v>
      </c>
      <c r="AG4" s="22" t="s">
        <v>26</v>
      </c>
      <c r="AH4" s="23" t="s">
        <v>41</v>
      </c>
      <c r="AI4" s="23" t="s">
        <v>42</v>
      </c>
      <c r="AJ4" s="24"/>
    </row>
    <row r="5" ht="30.0" customHeight="1">
      <c r="A5" s="25" t="s">
        <v>43</v>
      </c>
      <c r="B5" s="26">
        <v>2.0</v>
      </c>
      <c r="C5" s="27">
        <v>1.0</v>
      </c>
      <c r="D5" s="28">
        <v>45.0</v>
      </c>
      <c r="E5" s="28">
        <v>12.0</v>
      </c>
      <c r="F5" s="28">
        <v>50.0</v>
      </c>
      <c r="G5" s="28">
        <v>12.0</v>
      </c>
      <c r="H5" s="28">
        <v>55.0</v>
      </c>
      <c r="I5" s="29">
        <v>10.5</v>
      </c>
      <c r="J5" s="30"/>
      <c r="K5" s="30"/>
      <c r="L5" s="30"/>
      <c r="M5" s="30"/>
      <c r="N5" s="30"/>
      <c r="O5" s="30"/>
      <c r="P5" s="30"/>
      <c r="Q5" s="30"/>
      <c r="R5" s="31">
        <f t="array" ref="R5">D5*E5+F5*G5+H5*I5+J5*K5+L5*M5+N5*O5+P5*Q5</f>
        <v>1717.5</v>
      </c>
      <c r="S5" s="32">
        <f t="array" ref="S5">AVERAGE(E5,G5,I5,K5,M5,O5,Q5)</f>
        <v>11.5</v>
      </c>
      <c r="T5" s="33">
        <v>1392.0</v>
      </c>
      <c r="U5" s="34">
        <v>10.67</v>
      </c>
      <c r="V5" s="35">
        <v>1580.0</v>
      </c>
      <c r="W5" s="36">
        <v>10.666666666666666</v>
      </c>
      <c r="X5" s="35">
        <v>1580.0</v>
      </c>
      <c r="Y5" s="36">
        <v>10.666666666666666</v>
      </c>
      <c r="Z5" s="37">
        <v>1635.0</v>
      </c>
      <c r="AA5" s="36">
        <v>11.0</v>
      </c>
      <c r="AB5" s="30">
        <v>1635.0</v>
      </c>
      <c r="AC5" s="38">
        <v>11.0</v>
      </c>
      <c r="AD5" s="30">
        <v>1635.0</v>
      </c>
      <c r="AE5" s="38">
        <v>11.0</v>
      </c>
      <c r="AF5" s="35">
        <v>1717.5</v>
      </c>
      <c r="AG5" s="36">
        <v>11.5</v>
      </c>
      <c r="AH5" s="39">
        <f t="array" ref="AH5">(R5-T5)/T5</f>
        <v>0.2338362069</v>
      </c>
      <c r="AI5" s="39">
        <f t="array" ref="AI5">(S5-U5)/U5</f>
        <v>0.07778819119</v>
      </c>
      <c r="AJ5" s="40">
        <f t="array" ref="AJ5">MAX(T5,V5,X5,Z5,AB5,AD5)</f>
        <v>1635</v>
      </c>
    </row>
    <row r="6" ht="30.0" customHeight="1">
      <c r="A6" s="41" t="s">
        <v>44</v>
      </c>
      <c r="B6" s="42">
        <v>1.0</v>
      </c>
      <c r="C6" s="43">
        <v>1.0</v>
      </c>
      <c r="D6" s="44"/>
      <c r="E6" s="44"/>
      <c r="F6" s="45">
        <v>52.0</v>
      </c>
      <c r="G6" s="45">
        <v>12.0</v>
      </c>
      <c r="H6" s="45">
        <v>62.0</v>
      </c>
      <c r="I6" s="46">
        <v>11.0</v>
      </c>
      <c r="J6" s="47"/>
      <c r="K6" s="47"/>
      <c r="L6" s="47"/>
      <c r="M6" s="47"/>
      <c r="N6" s="47"/>
      <c r="O6" s="47"/>
      <c r="P6" s="47"/>
      <c r="Q6" s="47"/>
      <c r="R6" s="48">
        <f t="array" ref="R6">D6*E6+F6*G6+H6*I6+J6*K6+L6*M6+N6*O6+P6*Q6</f>
        <v>1306</v>
      </c>
      <c r="S6" s="49">
        <f t="array" ref="S6">AVERAGE(E6,G6,I6,K6,M6,O6,Q6)</f>
        <v>11.5</v>
      </c>
      <c r="T6" s="50">
        <v>720.0</v>
      </c>
      <c r="U6" s="51">
        <v>10.0</v>
      </c>
      <c r="V6" s="52">
        <v>920.0</v>
      </c>
      <c r="W6" s="53">
        <v>10.0</v>
      </c>
      <c r="X6" s="52">
        <v>920.0</v>
      </c>
      <c r="Y6" s="53">
        <v>10.0</v>
      </c>
      <c r="Z6" s="52">
        <v>972.0</v>
      </c>
      <c r="AA6" s="53">
        <v>10.5</v>
      </c>
      <c r="AB6" s="47">
        <v>1182.0</v>
      </c>
      <c r="AC6" s="54">
        <v>10.5</v>
      </c>
      <c r="AD6" s="47">
        <v>1182.0</v>
      </c>
      <c r="AE6" s="54">
        <v>10.5</v>
      </c>
      <c r="AF6" s="37">
        <v>1306.0</v>
      </c>
      <c r="AG6" s="53">
        <v>11.5</v>
      </c>
      <c r="AH6" s="55">
        <f t="array" ref="AH6">(R6-T6)/T6</f>
        <v>0.8138888889</v>
      </c>
      <c r="AI6" s="55">
        <f t="array" ref="AI6">(S6-U6)/U6</f>
        <v>0.15</v>
      </c>
      <c r="AJ6" s="56">
        <f t="array" ref="AJ6">MAX(T6,V6,X6,Z6,AB6,AD6)</f>
        <v>1182</v>
      </c>
    </row>
    <row r="7" ht="30.0" customHeight="1">
      <c r="A7" s="41" t="s">
        <v>45</v>
      </c>
      <c r="B7" s="42">
        <v>1.0</v>
      </c>
      <c r="C7" s="43">
        <v>1.0</v>
      </c>
      <c r="D7" s="44"/>
      <c r="E7" s="44"/>
      <c r="F7" s="45">
        <v>40.0</v>
      </c>
      <c r="G7" s="45">
        <v>12.0</v>
      </c>
      <c r="H7" s="46">
        <v>50.0</v>
      </c>
      <c r="I7" s="46">
        <v>10.0</v>
      </c>
      <c r="J7" s="47"/>
      <c r="K7" s="47"/>
      <c r="L7" s="47"/>
      <c r="M7" s="47"/>
      <c r="N7" s="47"/>
      <c r="O7" s="47"/>
      <c r="P7" s="47"/>
      <c r="Q7" s="47"/>
      <c r="R7" s="48">
        <f t="array" ref="R7">D7*E7+F7*G7+H7*I7+J7*K7+L7*M7+N7*O7+P7*Q7</f>
        <v>980</v>
      </c>
      <c r="S7" s="49">
        <f t="array" ref="S7">AVERAGE(E7,G7,I7,K7,M7,O7,Q7)</f>
        <v>11</v>
      </c>
      <c r="T7" s="50">
        <v>840.0</v>
      </c>
      <c r="U7" s="51">
        <v>10.0</v>
      </c>
      <c r="V7" s="52">
        <v>960.0</v>
      </c>
      <c r="W7" s="53">
        <v>12.0</v>
      </c>
      <c r="X7" s="52">
        <v>830.0</v>
      </c>
      <c r="Y7" s="53">
        <v>9.5</v>
      </c>
      <c r="Z7" s="52">
        <v>980.0</v>
      </c>
      <c r="AA7" s="53">
        <v>11.0</v>
      </c>
      <c r="AB7" s="47">
        <v>980.0</v>
      </c>
      <c r="AC7" s="54">
        <v>11.0</v>
      </c>
      <c r="AD7" s="47">
        <v>880.0</v>
      </c>
      <c r="AE7" s="54">
        <v>10.0</v>
      </c>
      <c r="AF7" s="37">
        <v>980.0</v>
      </c>
      <c r="AG7" s="53">
        <v>11.0</v>
      </c>
      <c r="AH7" s="55">
        <f t="array" ref="AH7">(R7-T7)/T7</f>
        <v>0.1666666667</v>
      </c>
      <c r="AI7" s="55">
        <f t="array" ref="AI7">(S7-U7)/U7</f>
        <v>0.1</v>
      </c>
      <c r="AJ7" s="56">
        <f t="array" ref="AJ7">MAX(T7,V7,X7,Z7,AB7,AD7)</f>
        <v>980</v>
      </c>
    </row>
    <row r="8" ht="30.0" customHeight="1">
      <c r="A8" s="41" t="s">
        <v>46</v>
      </c>
      <c r="B8" s="42">
        <v>2.0</v>
      </c>
      <c r="C8" s="43">
        <v>1.0</v>
      </c>
      <c r="D8" s="45">
        <v>20.0</v>
      </c>
      <c r="E8" s="45">
        <v>12.0</v>
      </c>
      <c r="F8" s="45">
        <v>20.0</v>
      </c>
      <c r="G8" s="45">
        <v>12.0</v>
      </c>
      <c r="H8" s="45">
        <v>25.0</v>
      </c>
      <c r="I8" s="45">
        <v>12.0</v>
      </c>
      <c r="J8" s="47"/>
      <c r="K8" s="47"/>
      <c r="L8" s="47"/>
      <c r="M8" s="47"/>
      <c r="N8" s="47"/>
      <c r="O8" s="47"/>
      <c r="P8" s="47"/>
      <c r="Q8" s="47"/>
      <c r="R8" s="48">
        <f t="array" ref="R8">D8*E8+F8*G8+H8*I8+J8*K8+L8*M8+N8*O8+P8*Q8</f>
        <v>780</v>
      </c>
      <c r="S8" s="49">
        <f t="array" ref="S8">AVERAGE(E8,G8,I8,K8,M8,O8,Q8)</f>
        <v>12</v>
      </c>
      <c r="T8" s="50">
        <v>540.0</v>
      </c>
      <c r="U8" s="51">
        <v>11.0</v>
      </c>
      <c r="V8" s="52">
        <v>544.0</v>
      </c>
      <c r="W8" s="53">
        <v>10.666666666666666</v>
      </c>
      <c r="X8" s="52">
        <v>680.0</v>
      </c>
      <c r="Y8" s="53">
        <v>10.666666666666666</v>
      </c>
      <c r="Z8" s="52">
        <v>730.0</v>
      </c>
      <c r="AA8" s="53">
        <v>11.333333333333334</v>
      </c>
      <c r="AB8" s="47">
        <v>730.0</v>
      </c>
      <c r="AC8" s="54">
        <v>11.333333333333334</v>
      </c>
      <c r="AD8" s="47">
        <v>730.0</v>
      </c>
      <c r="AE8" s="54">
        <v>11.333333333333334</v>
      </c>
      <c r="AF8" s="37">
        <v>780.0</v>
      </c>
      <c r="AG8" s="53">
        <v>12.0</v>
      </c>
      <c r="AH8" s="55">
        <f t="array" ref="AH8">(R8-T8)/T8</f>
        <v>0.4444444444</v>
      </c>
      <c r="AI8" s="55">
        <f t="array" ref="AI8">(S8-U8)/U8</f>
        <v>0.09090909091</v>
      </c>
      <c r="AJ8" s="56">
        <f t="array" ref="AJ8">MAX(T8,V8,X8,Z8,AB8,AD8)</f>
        <v>730</v>
      </c>
    </row>
    <row r="9" ht="30.0" customHeight="1">
      <c r="A9" s="41" t="s">
        <v>47</v>
      </c>
      <c r="B9" s="42">
        <v>2.0</v>
      </c>
      <c r="C9" s="43">
        <v>1.0</v>
      </c>
      <c r="D9" s="45">
        <v>30.0</v>
      </c>
      <c r="E9" s="45">
        <v>12.0</v>
      </c>
      <c r="F9" s="45">
        <v>30.0</v>
      </c>
      <c r="G9" s="45">
        <v>12.0</v>
      </c>
      <c r="H9" s="45">
        <v>35.0</v>
      </c>
      <c r="I9" s="45">
        <v>12.0</v>
      </c>
      <c r="J9" s="47"/>
      <c r="K9" s="47"/>
      <c r="L9" s="47"/>
      <c r="M9" s="47"/>
      <c r="N9" s="47"/>
      <c r="O9" s="47"/>
      <c r="P9" s="47"/>
      <c r="Q9" s="47"/>
      <c r="R9" s="48">
        <f t="array" ref="R9">D9*E9+F9*G9+H9*I9+J9*K9+L9*M9+N9*O9+P9*Q9</f>
        <v>1140</v>
      </c>
      <c r="S9" s="49">
        <f t="array" ref="S9">AVERAGE(E9,G9,I9,K9,M9,O9,Q9)</f>
        <v>12</v>
      </c>
      <c r="T9" s="50">
        <v>816.0</v>
      </c>
      <c r="U9" s="51">
        <v>10.67</v>
      </c>
      <c r="V9" s="52">
        <v>828.0</v>
      </c>
      <c r="W9" s="53">
        <v>10.666666666666666</v>
      </c>
      <c r="X9" s="52">
        <v>905.0</v>
      </c>
      <c r="Y9" s="53">
        <v>9.666666666666666</v>
      </c>
      <c r="Z9" s="52">
        <v>1040.0</v>
      </c>
      <c r="AA9" s="53">
        <v>11.0</v>
      </c>
      <c r="AB9" s="47">
        <v>1040.0</v>
      </c>
      <c r="AC9" s="54">
        <v>11.0</v>
      </c>
      <c r="AD9" s="47">
        <v>1040.0</v>
      </c>
      <c r="AE9" s="54">
        <v>11.0</v>
      </c>
      <c r="AF9" s="37">
        <v>1140.0</v>
      </c>
      <c r="AG9" s="53">
        <v>12.0</v>
      </c>
      <c r="AH9" s="55">
        <f t="array" ref="AH9">(R9-T9)/T9</f>
        <v>0.3970588235</v>
      </c>
      <c r="AI9" s="55">
        <f t="array" ref="AI9">(S9-U9)/U9</f>
        <v>0.1246485473</v>
      </c>
      <c r="AJ9" s="56">
        <f t="array" ref="AJ9">MAX(T9,V9,X9,Z9,AB9,AD9)</f>
        <v>1040</v>
      </c>
    </row>
    <row r="10" ht="30.0" customHeight="1">
      <c r="A10" s="57"/>
      <c r="B10" s="5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9"/>
      <c r="AJ10" s="56"/>
    </row>
    <row r="11" ht="30.0" customHeight="1">
      <c r="A11" s="41" t="s">
        <v>48</v>
      </c>
      <c r="B11" s="42">
        <v>2.0</v>
      </c>
      <c r="C11" s="43">
        <v>1.0</v>
      </c>
      <c r="D11" s="45">
        <v>4.0</v>
      </c>
      <c r="E11" s="45">
        <v>12.0</v>
      </c>
      <c r="F11" s="45">
        <v>4.0</v>
      </c>
      <c r="G11" s="45">
        <v>12.0</v>
      </c>
      <c r="H11" s="45">
        <v>5.0</v>
      </c>
      <c r="I11" s="46">
        <v>11.0</v>
      </c>
      <c r="J11" s="47"/>
      <c r="K11" s="47"/>
      <c r="L11" s="47"/>
      <c r="M11" s="47"/>
      <c r="N11" s="47"/>
      <c r="O11" s="47"/>
      <c r="P11" s="47"/>
      <c r="Q11" s="47"/>
      <c r="R11" s="48">
        <f t="array" ref="R11">D11*E11+F11*G11+H11*I11+J11*K11+L11*M11+N11*O11+P11*Q11</f>
        <v>151</v>
      </c>
      <c r="S11" s="49">
        <f t="array" ref="S11">AVERAGE(E11,G11,I11,K11,M11,O11,Q11)</f>
        <v>11.66666667</v>
      </c>
      <c r="T11" s="52">
        <v>115.0</v>
      </c>
      <c r="U11" s="53">
        <v>9.0</v>
      </c>
      <c r="V11" s="52">
        <v>115.0</v>
      </c>
      <c r="W11" s="53">
        <v>9.0</v>
      </c>
      <c r="X11" s="59">
        <v>136.0</v>
      </c>
      <c r="Y11" s="53">
        <v>10.666666666666666</v>
      </c>
      <c r="Z11" s="59">
        <v>136.0</v>
      </c>
      <c r="AA11" s="53">
        <v>10.666666666666666</v>
      </c>
      <c r="AB11" s="47">
        <v>136.0</v>
      </c>
      <c r="AC11" s="54">
        <v>10.666666666666666</v>
      </c>
      <c r="AD11" s="47">
        <v>141.0</v>
      </c>
      <c r="AE11" s="54">
        <v>11.0</v>
      </c>
      <c r="AF11" s="52">
        <v>151.0</v>
      </c>
      <c r="AG11" s="53">
        <v>11.666666666666666</v>
      </c>
      <c r="AH11" s="55">
        <f t="array" ref="AH11">(R11-T11)/T11</f>
        <v>0.3130434783</v>
      </c>
      <c r="AI11" s="55">
        <f t="array" ref="AI11">(S11-U11)/U11</f>
        <v>0.2962962963</v>
      </c>
      <c r="AJ11" s="56">
        <f t="array" ref="AJ11">MAX(T11,V11,X11,Z11,AB11,AD11)</f>
        <v>141</v>
      </c>
    </row>
    <row r="12" ht="30.0" customHeight="1">
      <c r="A12" s="41" t="s">
        <v>49</v>
      </c>
      <c r="B12" s="42">
        <v>2.0</v>
      </c>
      <c r="C12" s="43">
        <v>1.0</v>
      </c>
      <c r="D12" s="45">
        <v>8.0</v>
      </c>
      <c r="E12" s="45">
        <v>12.0</v>
      </c>
      <c r="F12" s="45">
        <v>8.0</v>
      </c>
      <c r="G12" s="45">
        <v>12.0</v>
      </c>
      <c r="H12" s="46">
        <v>9.0</v>
      </c>
      <c r="I12" s="46">
        <v>12.0</v>
      </c>
      <c r="J12" s="60"/>
      <c r="K12" s="47"/>
      <c r="L12" s="47"/>
      <c r="M12" s="47"/>
      <c r="N12" s="47"/>
      <c r="O12" s="47"/>
      <c r="P12" s="47"/>
      <c r="Q12" s="47"/>
      <c r="R12" s="48">
        <f t="array" ref="R12">D12*E12+F12*G12+H12*I12+J12*K12+L12*M12+N12*O12+P12*Q12</f>
        <v>300</v>
      </c>
      <c r="S12" s="49">
        <f t="array" ref="S12">AVERAGE(E12,G12,I12,K12,M12,O12,Q12)</f>
        <v>12</v>
      </c>
      <c r="T12" s="52">
        <v>230.0</v>
      </c>
      <c r="U12" s="53">
        <v>9.0</v>
      </c>
      <c r="V12" s="52">
        <v>256.0</v>
      </c>
      <c r="W12" s="53">
        <v>10.0</v>
      </c>
      <c r="X12" s="52">
        <v>266.0</v>
      </c>
      <c r="Y12" s="53">
        <v>10.333333333333334</v>
      </c>
      <c r="Z12" s="59">
        <v>282.0</v>
      </c>
      <c r="AA12" s="53">
        <v>11.0</v>
      </c>
      <c r="AB12" s="47">
        <v>282.0</v>
      </c>
      <c r="AC12" s="54">
        <v>11.0</v>
      </c>
      <c r="AD12" s="47">
        <v>298.0</v>
      </c>
      <c r="AE12" s="54">
        <v>11.333333333333334</v>
      </c>
      <c r="AF12" s="52">
        <v>300.0</v>
      </c>
      <c r="AG12" s="53">
        <v>12.0</v>
      </c>
      <c r="AH12" s="55">
        <f t="array" ref="AH12">(R12-T12)/T12</f>
        <v>0.3043478261</v>
      </c>
      <c r="AI12" s="55">
        <f t="array" ref="AI12">(S12-U12)/U12</f>
        <v>0.3333333333</v>
      </c>
      <c r="AJ12" s="56">
        <f t="array" ref="AJ12">MAX(T12,V12,X12,Z12,AB12,AD12)</f>
        <v>298</v>
      </c>
    </row>
    <row r="13" ht="30.0" customHeight="1">
      <c r="A13" s="41" t="s">
        <v>50</v>
      </c>
      <c r="B13" s="42">
        <v>1.0</v>
      </c>
      <c r="C13" s="43">
        <v>1.0</v>
      </c>
      <c r="D13" s="44"/>
      <c r="E13" s="44"/>
      <c r="F13" s="45">
        <v>20.0</v>
      </c>
      <c r="G13" s="45">
        <v>12.0</v>
      </c>
      <c r="H13" s="45">
        <v>25.0</v>
      </c>
      <c r="I13" s="46">
        <v>10.0</v>
      </c>
      <c r="J13" s="47"/>
      <c r="K13" s="47"/>
      <c r="L13" s="47"/>
      <c r="M13" s="47"/>
      <c r="N13" s="47"/>
      <c r="O13" s="47"/>
      <c r="P13" s="47"/>
      <c r="Q13" s="47"/>
      <c r="R13" s="48">
        <f t="array" ref="R13">D13*E13+F13*G13+H13*I13+J13*K13+L13*M13+N13*O13+P13*Q13</f>
        <v>490</v>
      </c>
      <c r="S13" s="49">
        <f t="array" ref="S13">AVERAGE(E13,G13,I13,K13,M13,O13,Q13)</f>
        <v>11</v>
      </c>
      <c r="T13" s="52">
        <v>400.0</v>
      </c>
      <c r="U13" s="53">
        <v>9.0</v>
      </c>
      <c r="V13" s="52">
        <v>440.0</v>
      </c>
      <c r="W13" s="53">
        <v>10.0</v>
      </c>
      <c r="X13" s="52">
        <v>425.0</v>
      </c>
      <c r="Y13" s="53">
        <v>8.5</v>
      </c>
      <c r="Z13" s="59">
        <v>465.0</v>
      </c>
      <c r="AA13" s="53">
        <v>10.5</v>
      </c>
      <c r="AB13" s="47">
        <v>465.0</v>
      </c>
      <c r="AC13" s="54">
        <v>10.5</v>
      </c>
      <c r="AD13" s="47">
        <v>490.0</v>
      </c>
      <c r="AE13" s="54">
        <v>11.0</v>
      </c>
      <c r="AF13" s="52">
        <v>490.0</v>
      </c>
      <c r="AG13" s="53">
        <v>11.0</v>
      </c>
      <c r="AH13" s="55">
        <f t="array" ref="AH13">(R13-T13)/T13</f>
        <v>0.225</v>
      </c>
      <c r="AI13" s="55">
        <f t="array" ref="AI13">(S13-U13)/U13</f>
        <v>0.2222222222</v>
      </c>
      <c r="AJ13" s="56">
        <f t="array" ref="AJ13">MAX(T13,V13,X13,Z13,AB13,AD13)</f>
        <v>490</v>
      </c>
    </row>
    <row r="14" ht="30.0" customHeight="1">
      <c r="A14" s="41" t="s">
        <v>51</v>
      </c>
      <c r="B14" s="42">
        <v>1.0</v>
      </c>
      <c r="C14" s="43">
        <v>1.0</v>
      </c>
      <c r="D14" s="44"/>
      <c r="E14" s="44"/>
      <c r="F14" s="45">
        <v>10.0</v>
      </c>
      <c r="G14" s="45">
        <v>12.0</v>
      </c>
      <c r="H14" s="45">
        <v>14.0</v>
      </c>
      <c r="I14" s="45">
        <v>9.0</v>
      </c>
      <c r="J14" s="47"/>
      <c r="K14" s="47"/>
      <c r="L14" s="47"/>
      <c r="M14" s="47"/>
      <c r="N14" s="47"/>
      <c r="O14" s="47"/>
      <c r="P14" s="47"/>
      <c r="Q14" s="47"/>
      <c r="R14" s="48">
        <f t="array" ref="R14">D14*E14+F14*G14+H14*I14+J14*K14+L14*M14+N14*O14+P14*Q14</f>
        <v>246</v>
      </c>
      <c r="S14" s="49">
        <f t="array" ref="S14">AVERAGE(E14,G14,I14,K14,M14,O14,Q14)</f>
        <v>10.5</v>
      </c>
      <c r="T14" s="52">
        <v>176.0</v>
      </c>
      <c r="U14" s="53">
        <v>10.0</v>
      </c>
      <c r="V14" s="52">
        <v>197.0</v>
      </c>
      <c r="W14" s="53">
        <v>9.5</v>
      </c>
      <c r="X14" s="59">
        <v>260.0</v>
      </c>
      <c r="Y14" s="53">
        <v>13.0</v>
      </c>
      <c r="Z14" s="52">
        <v>240.0</v>
      </c>
      <c r="AA14" s="53">
        <v>11.0</v>
      </c>
      <c r="AB14" s="47">
        <v>240.0</v>
      </c>
      <c r="AC14" s="54">
        <v>11.0</v>
      </c>
      <c r="AD14" s="47">
        <v>252.0</v>
      </c>
      <c r="AE14" s="54">
        <v>11.5</v>
      </c>
      <c r="AF14" s="52">
        <v>246.0</v>
      </c>
      <c r="AG14" s="53">
        <v>10.5</v>
      </c>
      <c r="AH14" s="55">
        <f t="array" ref="AH14">(R14-T14)/T14</f>
        <v>0.3977272727</v>
      </c>
      <c r="AI14" s="55">
        <f t="array" ref="AI14">(S14-U14)/U14</f>
        <v>0.05</v>
      </c>
      <c r="AJ14" s="56">
        <f t="array" ref="AJ14">MAX(T14,V14,X14,Z14,AB14,AD14)</f>
        <v>260</v>
      </c>
    </row>
    <row r="15" ht="30.0" customHeight="1">
      <c r="A15" s="41" t="s">
        <v>52</v>
      </c>
      <c r="B15" s="42">
        <v>1.0</v>
      </c>
      <c r="C15" s="43">
        <v>1.0</v>
      </c>
      <c r="D15" s="44"/>
      <c r="E15" s="44"/>
      <c r="F15" s="45">
        <v>5.0</v>
      </c>
      <c r="G15" s="45">
        <v>12.0</v>
      </c>
      <c r="H15" s="46">
        <v>7.0</v>
      </c>
      <c r="I15" s="46">
        <v>9.0</v>
      </c>
      <c r="J15" s="47"/>
      <c r="K15" s="47"/>
      <c r="L15" s="47"/>
      <c r="M15" s="47"/>
      <c r="N15" s="47"/>
      <c r="O15" s="47"/>
      <c r="P15" s="47"/>
      <c r="Q15" s="47"/>
      <c r="R15" s="48">
        <f t="array" ref="R15">D15*E15+F15*G15+H15*I15+J15*K15+L15*M15+N15*O15+P15*Q15</f>
        <v>123</v>
      </c>
      <c r="S15" s="49">
        <f t="array" ref="S15">AVERAGE(E15,G15,I15,K15,M15,O15,Q15)</f>
        <v>10.5</v>
      </c>
      <c r="T15" s="52">
        <v>70.0</v>
      </c>
      <c r="U15" s="53">
        <v>10.0</v>
      </c>
      <c r="V15" s="52">
        <v>70.0</v>
      </c>
      <c r="W15" s="53">
        <v>10.0</v>
      </c>
      <c r="X15" s="52">
        <v>75.0</v>
      </c>
      <c r="Y15" s="53">
        <v>10.5</v>
      </c>
      <c r="Z15" s="59">
        <v>80.0</v>
      </c>
      <c r="AA15" s="53">
        <v>11.0</v>
      </c>
      <c r="AB15" s="47">
        <v>80.0</v>
      </c>
      <c r="AC15" s="54">
        <v>11.0</v>
      </c>
      <c r="AD15" s="47">
        <v>116.0</v>
      </c>
      <c r="AE15" s="54">
        <v>10.0</v>
      </c>
      <c r="AF15" s="52">
        <v>123.0</v>
      </c>
      <c r="AG15" s="53">
        <v>10.5</v>
      </c>
      <c r="AH15" s="55">
        <f t="array" ref="AH15">(R15-T15)/T15</f>
        <v>0.7571428571</v>
      </c>
      <c r="AI15" s="55">
        <f t="array" ref="AI15">(S15-U15)/U15</f>
        <v>0.05</v>
      </c>
      <c r="AJ15" s="56">
        <f t="array" ref="AJ15">MAX(T15,V15,X15,Z15,AB15,AD15)</f>
        <v>116</v>
      </c>
    </row>
    <row r="16" ht="30.0" customHeight="1">
      <c r="A16" s="57"/>
      <c r="B16" s="5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9"/>
      <c r="AJ16" s="56"/>
    </row>
    <row r="17" ht="30.0" customHeight="1">
      <c r="A17" s="41" t="s">
        <v>43</v>
      </c>
      <c r="B17" s="42">
        <v>2.0</v>
      </c>
      <c r="C17" s="43">
        <v>1.0</v>
      </c>
      <c r="D17" s="45">
        <v>45.0</v>
      </c>
      <c r="E17" s="45">
        <v>12.0</v>
      </c>
      <c r="F17" s="45">
        <v>50.0</v>
      </c>
      <c r="G17" s="45">
        <v>12.0</v>
      </c>
      <c r="H17" s="45">
        <v>55.0</v>
      </c>
      <c r="I17" s="45">
        <v>16.0</v>
      </c>
      <c r="J17" s="47"/>
      <c r="K17" s="47"/>
      <c r="L17" s="47"/>
      <c r="M17" s="47"/>
      <c r="N17" s="47"/>
      <c r="O17" s="47"/>
      <c r="P17" s="47"/>
      <c r="Q17" s="47"/>
      <c r="R17" s="48">
        <f t="array" ref="R17">D17*E17+F17*G17+H17*I17+J17*K17+L17*M17+N17*O17+P17*Q17</f>
        <v>2020</v>
      </c>
      <c r="S17" s="49">
        <f t="array" ref="S17">AVERAGE(E17,G17,I17,K17,M17,O17,Q17)</f>
        <v>13.33333333</v>
      </c>
      <c r="T17" s="52">
        <v>1520.0</v>
      </c>
      <c r="U17" s="53">
        <v>10.666666666666666</v>
      </c>
      <c r="V17" s="52">
        <v>1580.0</v>
      </c>
      <c r="W17" s="53">
        <v>10.666666666666666</v>
      </c>
      <c r="X17" s="59">
        <v>1635.0</v>
      </c>
      <c r="Y17" s="53">
        <v>11.0</v>
      </c>
      <c r="Z17" s="59">
        <v>1635.0</v>
      </c>
      <c r="AA17" s="53">
        <v>11.0</v>
      </c>
      <c r="AB17" s="47">
        <v>1635.0</v>
      </c>
      <c r="AC17" s="54">
        <v>11.0</v>
      </c>
      <c r="AD17" s="47">
        <v>1745.0</v>
      </c>
      <c r="AE17" s="54">
        <v>11.666666666666666</v>
      </c>
      <c r="AF17" s="52">
        <v>2020.0</v>
      </c>
      <c r="AG17" s="53">
        <v>13.333333333333334</v>
      </c>
      <c r="AH17" s="55">
        <f t="array" ref="AH17">(R17-T17)/T17</f>
        <v>0.3289473684</v>
      </c>
      <c r="AI17" s="55">
        <f t="array" ref="AI17">(S17-U17)/U17</f>
        <v>0.25</v>
      </c>
      <c r="AJ17" s="56">
        <f t="array" ref="AJ17">MAX(T17,V17,X17,Z17,AB17,AD17)</f>
        <v>1745</v>
      </c>
    </row>
    <row r="18" ht="30.0" customHeight="1">
      <c r="A18" s="41" t="s">
        <v>44</v>
      </c>
      <c r="B18" s="42">
        <v>1.0</v>
      </c>
      <c r="C18" s="43">
        <v>1.0</v>
      </c>
      <c r="D18" s="44"/>
      <c r="E18" s="44"/>
      <c r="F18" s="45">
        <v>62.0</v>
      </c>
      <c r="G18" s="45">
        <v>12.0</v>
      </c>
      <c r="H18" s="45">
        <v>72.0</v>
      </c>
      <c r="I18" s="46">
        <v>11.0</v>
      </c>
      <c r="J18" s="47"/>
      <c r="K18" s="47"/>
      <c r="L18" s="47"/>
      <c r="M18" s="47"/>
      <c r="N18" s="47"/>
      <c r="O18" s="47"/>
      <c r="P18" s="47"/>
      <c r="Q18" s="47"/>
      <c r="R18" s="48">
        <f t="array" ref="R18">D18*E18+F18*G18+H18*I18+J18*K18+L18*M18+N18*O18+P18*Q18</f>
        <v>1536</v>
      </c>
      <c r="S18" s="49">
        <f t="array" ref="S18">AVERAGE(E18,G18,I18,K18,M18,O18,Q18)</f>
        <v>11.5</v>
      </c>
      <c r="T18" s="52">
        <v>820.0</v>
      </c>
      <c r="U18" s="53">
        <v>10.0</v>
      </c>
      <c r="V18" s="52">
        <v>1058.0</v>
      </c>
      <c r="W18" s="53">
        <v>9.5</v>
      </c>
      <c r="X18" s="59">
        <v>1182.0</v>
      </c>
      <c r="Y18" s="53">
        <v>10.5</v>
      </c>
      <c r="Z18" s="59">
        <v>1182.0</v>
      </c>
      <c r="AA18" s="53">
        <v>10.5</v>
      </c>
      <c r="AB18" s="47">
        <v>1182.0</v>
      </c>
      <c r="AC18" s="54">
        <v>10.5</v>
      </c>
      <c r="AD18" s="47">
        <v>1368.0</v>
      </c>
      <c r="AE18" s="54">
        <v>12.0</v>
      </c>
      <c r="AF18" s="52">
        <v>1536.0</v>
      </c>
      <c r="AG18" s="53">
        <v>11.5</v>
      </c>
      <c r="AH18" s="55">
        <f t="array" ref="AH18">(R18-T18)/T18</f>
        <v>0.8731707317</v>
      </c>
      <c r="AI18" s="55">
        <f t="array" ref="AI18">(S18-U18)/U18</f>
        <v>0.15</v>
      </c>
      <c r="AJ18" s="56">
        <f t="array" ref="AJ18">MAX(T18,V18,X18,Z18,AB18,AD18)</f>
        <v>1368</v>
      </c>
    </row>
    <row r="19" ht="30.0" customHeight="1">
      <c r="A19" s="41" t="s">
        <v>53</v>
      </c>
      <c r="B19" s="42">
        <v>1.0</v>
      </c>
      <c r="C19" s="43">
        <v>1.0</v>
      </c>
      <c r="D19" s="44"/>
      <c r="E19" s="44"/>
      <c r="F19" s="45">
        <v>40.0</v>
      </c>
      <c r="G19" s="45">
        <v>12.0</v>
      </c>
      <c r="H19" s="45">
        <v>50.0</v>
      </c>
      <c r="I19" s="46">
        <v>10.0</v>
      </c>
      <c r="J19" s="60"/>
      <c r="K19" s="47"/>
      <c r="L19" s="47"/>
      <c r="M19" s="47"/>
      <c r="N19" s="47"/>
      <c r="O19" s="47"/>
      <c r="P19" s="47"/>
      <c r="Q19" s="47"/>
      <c r="R19" s="48">
        <f t="array" ref="R19">D19*E19+F19*G19+H19*I19+J19*K19+L19*M19+N19*O19+P19*Q19</f>
        <v>980</v>
      </c>
      <c r="S19" s="49">
        <f t="array" ref="S19">AVERAGE(E19,G19,I19,K19,M19,O19,Q19)</f>
        <v>11</v>
      </c>
      <c r="T19" s="52">
        <v>605.0</v>
      </c>
      <c r="U19" s="53">
        <v>9.5</v>
      </c>
      <c r="V19" s="52">
        <v>640.0</v>
      </c>
      <c r="W19" s="53">
        <v>9.5</v>
      </c>
      <c r="X19" s="52">
        <v>720.0</v>
      </c>
      <c r="Y19" s="53">
        <v>10.5</v>
      </c>
      <c r="Z19" s="59">
        <v>760.0</v>
      </c>
      <c r="AA19" s="53">
        <v>11.0</v>
      </c>
      <c r="AB19" s="47">
        <v>760.0</v>
      </c>
      <c r="AC19" s="54">
        <v>11.0</v>
      </c>
      <c r="AD19" s="47">
        <v>840.0</v>
      </c>
      <c r="AE19" s="54">
        <v>12.0</v>
      </c>
      <c r="AF19" s="52">
        <v>980.0</v>
      </c>
      <c r="AG19" s="53">
        <v>11.0</v>
      </c>
      <c r="AH19" s="55">
        <f t="array" ref="AH19">(R19-T19)/T19</f>
        <v>0.6198347107</v>
      </c>
      <c r="AI19" s="55">
        <f t="array" ref="AI19">(S19-U19)/U19</f>
        <v>0.1578947368</v>
      </c>
      <c r="AJ19" s="56">
        <f t="array" ref="AJ19">MAX(T19,V19,X19,Z19,AB19,AD19)</f>
        <v>840</v>
      </c>
    </row>
    <row r="20" ht="30.0" customHeight="1">
      <c r="A20" s="41" t="s">
        <v>54</v>
      </c>
      <c r="B20" s="42">
        <v>2.0</v>
      </c>
      <c r="C20" s="43">
        <v>1.0</v>
      </c>
      <c r="D20" s="45">
        <v>15.0</v>
      </c>
      <c r="E20" s="61">
        <v>12.0</v>
      </c>
      <c r="F20" s="45">
        <v>15.0</v>
      </c>
      <c r="G20" s="45">
        <v>12.0</v>
      </c>
      <c r="H20" s="61">
        <v>15.0</v>
      </c>
      <c r="I20" s="46">
        <v>7.0</v>
      </c>
      <c r="J20" s="47"/>
      <c r="K20" s="47"/>
      <c r="L20" s="47"/>
      <c r="M20" s="47"/>
      <c r="N20" s="47"/>
      <c r="O20" s="47"/>
      <c r="P20" s="47"/>
      <c r="Q20" s="47"/>
      <c r="R20" s="48">
        <f t="array" ref="R20">D20*E20+F20*G20+H20*I20+J20*K20+L20*M20+N20*O20+P20*Q20</f>
        <v>465</v>
      </c>
      <c r="S20" s="49">
        <f t="array" ref="S20">AVERAGE(E20,G20,I20,K20,M20,O20,Q20)</f>
        <v>10.33333333</v>
      </c>
      <c r="T20" s="52">
        <v>258.0</v>
      </c>
      <c r="U20" s="53">
        <v>10.0</v>
      </c>
      <c r="V20" s="52">
        <v>360.0</v>
      </c>
      <c r="W20" s="53">
        <v>10.666666666666666</v>
      </c>
      <c r="X20" s="52">
        <v>360.0</v>
      </c>
      <c r="Y20" s="53">
        <v>10.666666666666666</v>
      </c>
      <c r="Z20" s="59">
        <v>500.0</v>
      </c>
      <c r="AA20" s="53">
        <v>10.333333333333334</v>
      </c>
      <c r="AB20" s="47">
        <v>500.0</v>
      </c>
      <c r="AC20" s="54">
        <v>10.333333333333334</v>
      </c>
      <c r="AD20" s="47">
        <v>500.0</v>
      </c>
      <c r="AE20" s="54">
        <v>10.333333333333334</v>
      </c>
      <c r="AF20" s="52">
        <v>465.0</v>
      </c>
      <c r="AG20" s="53">
        <v>10.333333333333334</v>
      </c>
      <c r="AH20" s="55">
        <f t="array" ref="AH20">(R20-T20)/T20</f>
        <v>0.8023255814</v>
      </c>
      <c r="AI20" s="55">
        <f t="array" ref="AI20">(S20-U20)/U20</f>
        <v>0.03333333333</v>
      </c>
      <c r="AJ20" s="56">
        <f t="array" ref="AJ20">MAX(T20,V20,X20,Z20,AB20,AD20)</f>
        <v>500</v>
      </c>
    </row>
    <row r="21" ht="30.0" customHeight="1">
      <c r="A21" s="41" t="s">
        <v>46</v>
      </c>
      <c r="B21" s="42">
        <v>2.0</v>
      </c>
      <c r="C21" s="43">
        <v>1.0</v>
      </c>
      <c r="D21" s="45">
        <v>20.0</v>
      </c>
      <c r="E21" s="45">
        <v>12.0</v>
      </c>
      <c r="F21" s="45">
        <v>20.0</v>
      </c>
      <c r="G21" s="45">
        <v>12.0</v>
      </c>
      <c r="H21" s="45">
        <v>25.0</v>
      </c>
      <c r="I21" s="45">
        <v>12.0</v>
      </c>
      <c r="J21" s="47"/>
      <c r="K21" s="47"/>
      <c r="L21" s="47"/>
      <c r="M21" s="47"/>
      <c r="N21" s="47"/>
      <c r="O21" s="47"/>
      <c r="P21" s="47"/>
      <c r="Q21" s="47"/>
      <c r="R21" s="48">
        <f t="array" ref="R21">D21*E21+F21*G21+H21*I21+J21*K21+L21*M21+N21*O21+P21*Q21</f>
        <v>780</v>
      </c>
      <c r="S21" s="49">
        <f t="array" ref="S21">AVERAGE(E21,G21,I21,K21,M21,O21,Q21)</f>
        <v>12</v>
      </c>
      <c r="T21" s="52">
        <v>575.0</v>
      </c>
      <c r="U21" s="53">
        <v>9.0</v>
      </c>
      <c r="V21" s="52">
        <v>655.0</v>
      </c>
      <c r="W21" s="53">
        <v>10.333333333333334</v>
      </c>
      <c r="X21" s="52">
        <v>680.0</v>
      </c>
      <c r="Y21" s="53">
        <v>10.666666666666666</v>
      </c>
      <c r="Z21" s="59">
        <v>730.0</v>
      </c>
      <c r="AA21" s="53">
        <v>11.333333333333334</v>
      </c>
      <c r="AB21" s="47">
        <v>730.0</v>
      </c>
      <c r="AC21" s="54">
        <v>11.333333333333334</v>
      </c>
      <c r="AD21" s="47">
        <v>730.0</v>
      </c>
      <c r="AE21" s="54">
        <v>11.333333333333334</v>
      </c>
      <c r="AF21" s="52">
        <v>780.0</v>
      </c>
      <c r="AG21" s="53">
        <v>12.0</v>
      </c>
      <c r="AH21" s="62">
        <f t="array" ref="AH21">(R21-T21)/T21</f>
        <v>0.3565217391</v>
      </c>
      <c r="AI21" s="55">
        <f t="array" ref="AI21">(S21-U21)/U21</f>
        <v>0.3333333333</v>
      </c>
      <c r="AJ21" s="56">
        <f t="array" ref="AJ21">MAX(T21,V21,X21,Z21,AB21,AD21)</f>
        <v>730</v>
      </c>
    </row>
    <row r="22" ht="30.0" customHeight="1">
      <c r="A22" s="57"/>
      <c r="B22" s="5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9"/>
      <c r="AJ22" s="56"/>
    </row>
    <row r="23" ht="30.0" customHeight="1">
      <c r="A23" s="41" t="s">
        <v>48</v>
      </c>
      <c r="B23" s="42">
        <v>2.0</v>
      </c>
      <c r="C23" s="43">
        <v>1.0</v>
      </c>
      <c r="D23" s="45">
        <v>4.0</v>
      </c>
      <c r="E23" s="45">
        <v>12.0</v>
      </c>
      <c r="F23" s="45">
        <v>4.0</v>
      </c>
      <c r="G23" s="45">
        <v>12.0</v>
      </c>
      <c r="H23" s="45">
        <v>5.0</v>
      </c>
      <c r="I23" s="61">
        <v>12.0</v>
      </c>
      <c r="J23" s="47"/>
      <c r="K23" s="47"/>
      <c r="L23" s="47"/>
      <c r="M23" s="47"/>
      <c r="N23" s="47"/>
      <c r="O23" s="47"/>
      <c r="P23" s="47"/>
      <c r="Q23" s="47"/>
      <c r="R23" s="48">
        <f t="array" ref="R23">D23*E23+F23*G23+H23*I23+J23*K23+L23*M23+N23*O23+P23*Q23</f>
        <v>156</v>
      </c>
      <c r="S23" s="49">
        <f t="array" ref="S23">AVERAGE(E23,G23,I23,K23,M23,O23,Q23)</f>
        <v>12</v>
      </c>
      <c r="T23" s="52">
        <v>115.0</v>
      </c>
      <c r="U23" s="53">
        <v>9.0</v>
      </c>
      <c r="V23" s="52">
        <v>119.0</v>
      </c>
      <c r="W23" s="53">
        <v>9.333333333333334</v>
      </c>
      <c r="X23" s="52">
        <v>141.0</v>
      </c>
      <c r="Y23" s="53">
        <v>11.0</v>
      </c>
      <c r="Z23" s="59">
        <v>146.0</v>
      </c>
      <c r="AA23" s="53">
        <v>11.333333333333334</v>
      </c>
      <c r="AB23" s="47">
        <v>146.0</v>
      </c>
      <c r="AC23" s="54">
        <v>11.333333333333334</v>
      </c>
      <c r="AD23" s="47">
        <v>156.0</v>
      </c>
      <c r="AE23" s="54">
        <v>12.0</v>
      </c>
      <c r="AF23" s="52">
        <v>156.0</v>
      </c>
      <c r="AG23" s="53">
        <v>12.0</v>
      </c>
      <c r="AH23" s="62">
        <f t="array" ref="AH23">(R23-T23)/T23</f>
        <v>0.3565217391</v>
      </c>
      <c r="AI23" s="55">
        <f t="array" ref="AI23">(S23-U23)/U23</f>
        <v>0.3333333333</v>
      </c>
      <c r="AJ23" s="56">
        <f t="array" ref="AJ23">MAX(T23,V23,X23,Z23,AB23,AD23)</f>
        <v>156</v>
      </c>
    </row>
    <row r="24" ht="30.0" customHeight="1">
      <c r="A24" s="41" t="s">
        <v>55</v>
      </c>
      <c r="B24" s="42">
        <v>2.0</v>
      </c>
      <c r="C24" s="43">
        <v>1.0</v>
      </c>
      <c r="D24" s="45">
        <v>6.0</v>
      </c>
      <c r="E24" s="45">
        <v>12.0</v>
      </c>
      <c r="F24" s="45">
        <v>6.0</v>
      </c>
      <c r="G24" s="45">
        <v>12.0</v>
      </c>
      <c r="H24" s="45">
        <v>7.0</v>
      </c>
      <c r="I24" s="45">
        <v>8.0</v>
      </c>
      <c r="J24" s="47"/>
      <c r="K24" s="47"/>
      <c r="L24" s="47"/>
      <c r="M24" s="47"/>
      <c r="N24" s="47"/>
      <c r="O24" s="47"/>
      <c r="P24" s="47"/>
      <c r="Q24" s="47"/>
      <c r="R24" s="48">
        <f t="array" ref="R24">D24*E24+F24*G24+H24*I24+J24*K24+L24*M24+N24*O24+P24*Q24</f>
        <v>200</v>
      </c>
      <c r="S24" s="49">
        <f t="array" ref="S24">AVERAGE(E24,G24,I24,K24,M24,O24,Q24)</f>
        <v>10.66666667</v>
      </c>
      <c r="T24" s="52">
        <v>136.0</v>
      </c>
      <c r="U24" s="53">
        <v>8.666666666666666</v>
      </c>
      <c r="V24" s="52">
        <v>142.0</v>
      </c>
      <c r="W24" s="53">
        <v>9.0</v>
      </c>
      <c r="X24" s="52">
        <v>174.0</v>
      </c>
      <c r="Y24" s="53">
        <v>11.0</v>
      </c>
      <c r="Z24" s="59">
        <v>192.0</v>
      </c>
      <c r="AA24" s="53">
        <v>12.0</v>
      </c>
      <c r="AB24" s="47">
        <v>192.0</v>
      </c>
      <c r="AC24" s="54">
        <v>12.0</v>
      </c>
      <c r="AD24" s="47">
        <v>192.0</v>
      </c>
      <c r="AE24" s="54">
        <v>12.0</v>
      </c>
      <c r="AF24" s="52">
        <v>200.0</v>
      </c>
      <c r="AG24" s="53">
        <v>10.666666666666666</v>
      </c>
      <c r="AH24" s="62">
        <f t="array" ref="AH24">(R24-T24)/T24</f>
        <v>0.4705882353</v>
      </c>
      <c r="AI24" s="55">
        <f t="array" ref="AI24">(S24-U24)/U24</f>
        <v>0.2307692308</v>
      </c>
      <c r="AJ24" s="56">
        <f t="array" ref="AJ24">MAX(T24,V24,X24,Z24,AB24,AD24)</f>
        <v>192</v>
      </c>
    </row>
    <row r="25" ht="30.0" customHeight="1">
      <c r="A25" s="41" t="s">
        <v>56</v>
      </c>
      <c r="B25" s="42">
        <v>1.0</v>
      </c>
      <c r="C25" s="43">
        <v>1.0</v>
      </c>
      <c r="D25" s="44"/>
      <c r="E25" s="44"/>
      <c r="F25" s="45">
        <v>25.0</v>
      </c>
      <c r="G25" s="45">
        <v>12.0</v>
      </c>
      <c r="H25" s="45">
        <v>30.0</v>
      </c>
      <c r="I25" s="45">
        <v>10.0</v>
      </c>
      <c r="J25" s="47"/>
      <c r="K25" s="47"/>
      <c r="L25" s="47"/>
      <c r="M25" s="47"/>
      <c r="N25" s="47"/>
      <c r="O25" s="47"/>
      <c r="P25" s="47"/>
      <c r="Q25" s="47"/>
      <c r="R25" s="48">
        <f t="array" ref="R25">D25*E25+F25*G25+H25*I25+J25*K25+L25*M25+N25*O25+P25*Q25</f>
        <v>600</v>
      </c>
      <c r="S25" s="49">
        <f t="array" ref="S25">AVERAGE(E25,G25,I25,K25,M25,O25,Q25)</f>
        <v>11</v>
      </c>
      <c r="T25" s="52">
        <v>415.0</v>
      </c>
      <c r="U25" s="53">
        <v>9.5</v>
      </c>
      <c r="V25" s="52">
        <v>460.0</v>
      </c>
      <c r="W25" s="53">
        <v>8.5</v>
      </c>
      <c r="X25" s="52">
        <v>570.0</v>
      </c>
      <c r="Y25" s="53">
        <v>10.5</v>
      </c>
      <c r="Z25" s="59">
        <v>600.0</v>
      </c>
      <c r="AA25" s="53">
        <v>11.0</v>
      </c>
      <c r="AB25" s="47">
        <v>600.0</v>
      </c>
      <c r="AC25" s="54">
        <v>11.0</v>
      </c>
      <c r="AD25" s="47">
        <v>600.0</v>
      </c>
      <c r="AE25" s="54">
        <v>11.0</v>
      </c>
      <c r="AF25" s="52">
        <v>600.0</v>
      </c>
      <c r="AG25" s="53">
        <v>11.0</v>
      </c>
      <c r="AH25" s="62">
        <f t="array" ref="AH25">(R25-T25)/T25</f>
        <v>0.4457831325</v>
      </c>
      <c r="AI25" s="55">
        <f t="array" ref="AI25">(S25-U25)/U25</f>
        <v>0.1578947368</v>
      </c>
      <c r="AJ25" s="56">
        <f t="array" ref="AJ25">MAX(T25,V25,X25,Z25,AB25,AD25)</f>
        <v>600</v>
      </c>
    </row>
    <row r="26" ht="30.0" customHeight="1">
      <c r="A26" s="41" t="s">
        <v>57</v>
      </c>
      <c r="B26" s="42">
        <v>1.0</v>
      </c>
      <c r="C26" s="43">
        <v>1.0</v>
      </c>
      <c r="D26" s="44"/>
      <c r="E26" s="44"/>
      <c r="F26" s="45">
        <v>30.0</v>
      </c>
      <c r="G26" s="45">
        <v>12.0</v>
      </c>
      <c r="H26" s="45">
        <v>34.0</v>
      </c>
      <c r="I26" s="45">
        <v>8.0</v>
      </c>
      <c r="J26" s="47"/>
      <c r="K26" s="47"/>
      <c r="L26" s="47"/>
      <c r="M26" s="47"/>
      <c r="N26" s="47"/>
      <c r="O26" s="47"/>
      <c r="P26" s="47"/>
      <c r="Q26" s="47"/>
      <c r="R26" s="48">
        <f t="array" ref="R26">D26*E26+F26*G26+H26*I26+J26*K26+L26*M26+N26*O26+P26*Q26</f>
        <v>632</v>
      </c>
      <c r="S26" s="49">
        <f t="array" ref="S26">AVERAGE(E26,G26,I26,K26,M26,O26,Q26)</f>
        <v>10</v>
      </c>
      <c r="T26" s="52">
        <v>415.0</v>
      </c>
      <c r="U26" s="53">
        <v>9.5</v>
      </c>
      <c r="V26" s="52">
        <v>485.0</v>
      </c>
      <c r="W26" s="53">
        <v>9.0</v>
      </c>
      <c r="X26" s="52">
        <v>510.0</v>
      </c>
      <c r="Y26" s="53">
        <v>9.5</v>
      </c>
      <c r="Z26" s="59">
        <v>540.0</v>
      </c>
      <c r="AA26" s="53">
        <v>10.0</v>
      </c>
      <c r="AB26" s="47">
        <v>540.0</v>
      </c>
      <c r="AC26" s="54">
        <v>10.0</v>
      </c>
      <c r="AD26" s="47">
        <v>540.0</v>
      </c>
      <c r="AE26" s="54">
        <v>10.0</v>
      </c>
      <c r="AF26" s="52">
        <v>632.0</v>
      </c>
      <c r="AG26" s="53">
        <v>10.0</v>
      </c>
      <c r="AH26" s="62">
        <f t="array" ref="AH26">(R26-T26)/T26</f>
        <v>0.5228915663</v>
      </c>
      <c r="AI26" s="55">
        <f t="array" ref="AI26">(S26-U26)/U26</f>
        <v>0.05263157895</v>
      </c>
      <c r="AJ26" s="56">
        <f t="array" ref="AJ26">MAX(T26,V26,X26,Z26,AB26,AD26)</f>
        <v>540</v>
      </c>
    </row>
    <row r="27" ht="30.0" customHeight="1">
      <c r="A27" s="41" t="s">
        <v>58</v>
      </c>
      <c r="B27" s="42">
        <v>1.0</v>
      </c>
      <c r="C27" s="43">
        <v>1.0</v>
      </c>
      <c r="D27" s="44"/>
      <c r="E27" s="44"/>
      <c r="F27" s="45">
        <v>7.0</v>
      </c>
      <c r="G27" s="45">
        <v>12.0</v>
      </c>
      <c r="H27" s="45">
        <v>10.0</v>
      </c>
      <c r="I27" s="45">
        <v>5.0</v>
      </c>
      <c r="J27" s="47"/>
      <c r="K27" s="47"/>
      <c r="L27" s="47"/>
      <c r="M27" s="47"/>
      <c r="N27" s="47"/>
      <c r="O27" s="47"/>
      <c r="P27" s="47"/>
      <c r="Q27" s="47"/>
      <c r="R27" s="48">
        <f t="array" ref="R27">D27*E27+F27*G27+H27*I27+J27*K27+L27*M27+N27*O27+P27*Q27</f>
        <v>134</v>
      </c>
      <c r="S27" s="49">
        <f t="array" ref="S27">AVERAGE(E27,G27,I27,K27,M27,O27,Q27)</f>
        <v>8.5</v>
      </c>
      <c r="T27" s="52">
        <v>144.0</v>
      </c>
      <c r="U27" s="53">
        <v>9.0</v>
      </c>
      <c r="V27" s="52">
        <v>164.0</v>
      </c>
      <c r="W27" s="53">
        <v>10.0</v>
      </c>
      <c r="X27" s="59">
        <v>174.0</v>
      </c>
      <c r="Y27" s="53">
        <v>10.5</v>
      </c>
      <c r="Z27" s="52">
        <v>164.0</v>
      </c>
      <c r="AA27" s="53">
        <v>10.0</v>
      </c>
      <c r="AB27" s="47">
        <v>164.0</v>
      </c>
      <c r="AC27" s="54">
        <v>10.0</v>
      </c>
      <c r="AD27" s="47">
        <v>164.0</v>
      </c>
      <c r="AE27" s="54">
        <v>10.0</v>
      </c>
      <c r="AF27" s="52">
        <v>134.0</v>
      </c>
      <c r="AG27" s="53">
        <v>8.5</v>
      </c>
      <c r="AH27" s="62">
        <f t="array" ref="AH27">(R27-T27)/T27</f>
        <v>-0.06944444444</v>
      </c>
      <c r="AI27" s="55">
        <f t="array" ref="AI27">(S27-U27)/U27</f>
        <v>-0.05555555556</v>
      </c>
      <c r="AJ27" s="56">
        <f t="array" ref="AJ27">MAX(T27,V27,X27,Z27,AB27,AD27)</f>
        <v>174</v>
      </c>
    </row>
    <row r="28" ht="19.5" customHeight="1">
      <c r="A28" s="63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</row>
    <row r="29" ht="19.5" customHeight="1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</row>
    <row r="30" ht="19.5" customHeight="1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</row>
    <row r="31" ht="19.5" customHeight="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</row>
    <row r="32" ht="19.5" customHeight="1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</row>
    <row r="33" ht="19.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</row>
    <row r="34" ht="19.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</row>
    <row r="35" ht="19.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</row>
    <row r="36" ht="19.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</row>
    <row r="37" ht="19.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</row>
    <row r="38" ht="19.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</row>
    <row r="39" ht="19.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</row>
    <row r="40" ht="19.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</row>
    <row r="41" ht="19.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</row>
    <row r="42" ht="19.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</row>
    <row r="43" ht="19.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</row>
    <row r="44" ht="19.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</row>
    <row r="45" ht="19.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</row>
    <row r="46" ht="19.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</row>
    <row r="47" ht="19.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</row>
    <row r="48" ht="19.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</row>
    <row r="49" ht="19.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</row>
    <row r="50" ht="19.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</row>
    <row r="51" ht="19.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</row>
    <row r="52" ht="19.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</row>
    <row r="53" ht="19.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</row>
    <row r="54" ht="19.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</row>
    <row r="55" ht="19.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</row>
    <row r="56" ht="19.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</row>
    <row r="57" ht="19.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</row>
    <row r="58" ht="19.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</row>
    <row r="59" ht="19.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</row>
    <row r="60" ht="19.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</row>
    <row r="61" ht="19.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</row>
    <row r="62" ht="19.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</row>
    <row r="63" ht="19.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</row>
    <row r="64" ht="19.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</row>
    <row r="65" ht="19.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</row>
    <row r="66" ht="19.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</row>
    <row r="67" ht="19.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</row>
    <row r="68" ht="19.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</row>
    <row r="69" ht="19.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</row>
    <row r="70" ht="19.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</row>
    <row r="71" ht="19.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</row>
    <row r="72" ht="19.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</row>
    <row r="73" ht="19.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</row>
    <row r="74" ht="19.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</row>
    <row r="75" ht="19.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</row>
    <row r="76" ht="19.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</row>
    <row r="77" ht="19.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</row>
    <row r="78" ht="19.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</row>
    <row r="79" ht="19.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</row>
    <row r="80" ht="19.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</row>
    <row r="81" ht="19.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</row>
    <row r="82" ht="19.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</row>
    <row r="83" ht="19.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</row>
    <row r="84" ht="19.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</row>
    <row r="85" ht="19.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</row>
    <row r="86" ht="19.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</row>
    <row r="87" ht="19.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</row>
    <row r="88" ht="19.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</row>
    <row r="89" ht="19.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</row>
    <row r="90" ht="19.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</row>
    <row r="91" ht="19.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</row>
    <row r="92" ht="19.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</row>
    <row r="93" ht="19.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</row>
    <row r="94" ht="19.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</row>
    <row r="95" ht="19.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</row>
    <row r="96" ht="19.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</row>
    <row r="97" ht="19.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</row>
    <row r="98" ht="19.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</row>
    <row r="99" ht="19.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</row>
    <row r="100" ht="19.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</row>
    <row r="101" ht="19.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</row>
    <row r="102" ht="19.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</row>
    <row r="103" ht="19.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</row>
    <row r="104" ht="19.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</row>
    <row r="105" ht="19.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</row>
    <row r="106" ht="19.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</row>
    <row r="107" ht="19.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</row>
    <row r="108" ht="19.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</row>
    <row r="109" ht="19.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</row>
    <row r="110" ht="19.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</row>
    <row r="111" ht="19.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</row>
    <row r="112" ht="19.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</row>
    <row r="113" ht="19.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</row>
    <row r="114" ht="19.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</row>
    <row r="115" ht="19.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</row>
    <row r="116" ht="19.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</row>
    <row r="117" ht="19.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</row>
    <row r="118" ht="19.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</row>
    <row r="119" ht="19.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</row>
    <row r="120" ht="19.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</row>
    <row r="121" ht="19.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</row>
    <row r="122" ht="19.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</row>
    <row r="123" ht="19.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</row>
    <row r="124" ht="19.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</row>
    <row r="125" ht="19.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</row>
    <row r="126" ht="19.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</row>
    <row r="127" ht="19.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</row>
    <row r="128" ht="19.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</row>
    <row r="129" ht="19.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</row>
    <row r="130" ht="19.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</row>
    <row r="131" ht="19.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</row>
    <row r="132" ht="19.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</row>
    <row r="133" ht="19.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</row>
    <row r="134" ht="19.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</row>
    <row r="135" ht="19.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</row>
    <row r="136" ht="19.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</row>
    <row r="137" ht="19.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</row>
    <row r="138" ht="19.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</row>
    <row r="139" ht="19.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</row>
    <row r="140" ht="19.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</row>
    <row r="141" ht="19.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</row>
    <row r="142" ht="19.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</row>
    <row r="143" ht="19.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</row>
    <row r="144" ht="19.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</row>
    <row r="145" ht="19.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</row>
    <row r="146" ht="19.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</row>
    <row r="147" ht="19.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</row>
    <row r="148" ht="19.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</row>
    <row r="149" ht="19.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</row>
    <row r="150" ht="19.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</row>
    <row r="151" ht="19.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</row>
    <row r="152" ht="19.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</row>
    <row r="153" ht="19.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</row>
    <row r="154" ht="19.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</row>
    <row r="155" ht="19.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</row>
    <row r="156" ht="19.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</row>
    <row r="157" ht="19.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</row>
    <row r="158" ht="19.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</row>
    <row r="159" ht="19.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</row>
    <row r="160" ht="19.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</row>
    <row r="161" ht="19.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</row>
    <row r="162" ht="19.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</row>
    <row r="163" ht="19.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</row>
    <row r="164" ht="19.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</row>
    <row r="165" ht="19.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</row>
    <row r="166" ht="19.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</row>
    <row r="167" ht="19.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</row>
    <row r="168" ht="19.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</row>
    <row r="169" ht="19.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</row>
    <row r="170" ht="19.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</row>
    <row r="171" ht="19.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</row>
    <row r="172" ht="19.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</row>
    <row r="173" ht="19.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</row>
    <row r="174" ht="19.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</row>
    <row r="175" ht="19.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</row>
    <row r="176" ht="19.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</row>
    <row r="177" ht="19.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</row>
    <row r="178" ht="19.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</row>
    <row r="179" ht="19.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</row>
    <row r="180" ht="19.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</row>
    <row r="181" ht="19.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</row>
    <row r="182" ht="19.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</row>
    <row r="183" ht="19.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</row>
    <row r="184" ht="19.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</row>
    <row r="185" ht="19.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</row>
    <row r="186" ht="19.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</row>
    <row r="187" ht="19.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</row>
    <row r="188" ht="19.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</row>
    <row r="189" ht="19.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</row>
    <row r="190" ht="19.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</row>
    <row r="191" ht="19.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</row>
    <row r="192" ht="19.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</row>
    <row r="193" ht="19.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</row>
    <row r="194" ht="19.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</row>
    <row r="195" ht="19.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</row>
    <row r="196" ht="19.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</row>
    <row r="197" ht="19.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</row>
    <row r="198" ht="19.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</row>
    <row r="199" ht="19.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</row>
    <row r="200" ht="19.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</row>
    <row r="201" ht="19.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</row>
    <row r="202" ht="19.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</row>
    <row r="203" ht="19.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</row>
    <row r="204" ht="19.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</row>
    <row r="205" ht="19.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</row>
    <row r="206" ht="19.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</row>
    <row r="207" ht="19.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</row>
    <row r="208" ht="19.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</row>
    <row r="209" ht="19.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</row>
    <row r="210" ht="19.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</row>
    <row r="211" ht="19.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</row>
    <row r="212" ht="19.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</row>
    <row r="213" ht="19.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</row>
    <row r="214" ht="19.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</row>
    <row r="215" ht="19.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</row>
    <row r="216" ht="19.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</row>
    <row r="217" ht="19.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</row>
    <row r="218" ht="19.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</row>
    <row r="219" ht="19.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</row>
    <row r="220" ht="19.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</row>
    <row r="221" ht="19.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</row>
    <row r="222" ht="19.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</row>
    <row r="223" ht="19.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</row>
    <row r="224" ht="19.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</row>
    <row r="225" ht="19.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</row>
    <row r="226" ht="19.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</row>
    <row r="227" ht="19.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</row>
    <row r="228" ht="19.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</row>
    <row r="229" ht="19.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</row>
    <row r="230" ht="19.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</row>
    <row r="231" ht="19.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</row>
    <row r="232" ht="19.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</row>
    <row r="233" ht="19.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</row>
    <row r="234" ht="19.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</row>
    <row r="235" ht="19.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</row>
    <row r="236" ht="19.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</row>
    <row r="237" ht="19.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</row>
    <row r="238" ht="19.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</row>
    <row r="239" ht="19.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</row>
    <row r="240" ht="19.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</row>
    <row r="241" ht="19.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</row>
    <row r="242" ht="19.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</row>
    <row r="243" ht="19.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</row>
    <row r="244" ht="19.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</row>
    <row r="245" ht="19.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</row>
    <row r="246" ht="19.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</row>
    <row r="247" ht="19.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</row>
    <row r="248" ht="19.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</row>
    <row r="249" ht="19.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</row>
    <row r="250" ht="19.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</row>
    <row r="251" ht="19.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</row>
    <row r="252" ht="19.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</row>
    <row r="253" ht="19.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</row>
    <row r="254" ht="19.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</row>
    <row r="255" ht="19.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</row>
    <row r="256" ht="19.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</row>
    <row r="257" ht="19.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</row>
    <row r="258" ht="19.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</row>
    <row r="259" ht="19.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</row>
    <row r="260" ht="19.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</row>
    <row r="261" ht="19.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</row>
    <row r="262" ht="19.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</row>
    <row r="263" ht="19.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</row>
    <row r="264" ht="19.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</row>
    <row r="265" ht="19.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</row>
    <row r="266" ht="19.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</row>
    <row r="267" ht="19.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</row>
    <row r="268" ht="19.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</row>
    <row r="269" ht="19.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</row>
    <row r="270" ht="19.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</row>
    <row r="271" ht="19.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</row>
    <row r="272" ht="19.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</row>
    <row r="273" ht="19.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</row>
    <row r="274" ht="19.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</row>
    <row r="275" ht="19.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</row>
    <row r="276" ht="19.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</row>
    <row r="277" ht="19.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</row>
    <row r="278" ht="19.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</row>
    <row r="279" ht="19.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</row>
    <row r="280" ht="19.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</row>
    <row r="281" ht="19.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</row>
    <row r="282" ht="19.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</row>
    <row r="283" ht="19.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</row>
    <row r="284" ht="19.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</row>
    <row r="285" ht="19.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</row>
    <row r="286" ht="19.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</row>
    <row r="287" ht="19.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</row>
    <row r="288" ht="19.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</row>
    <row r="289" ht="19.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</row>
    <row r="290" ht="19.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</row>
    <row r="291" ht="19.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</row>
    <row r="292" ht="19.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</row>
    <row r="293" ht="19.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</row>
    <row r="294" ht="19.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</row>
    <row r="295" ht="19.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</row>
    <row r="296" ht="19.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</row>
    <row r="297" ht="19.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</row>
    <row r="298" ht="19.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</row>
    <row r="299" ht="19.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</row>
    <row r="300" ht="19.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</row>
    <row r="301" ht="19.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</row>
    <row r="302" ht="19.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</row>
    <row r="303" ht="19.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</row>
    <row r="304" ht="19.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</row>
    <row r="305" ht="19.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</row>
    <row r="306" ht="19.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</row>
    <row r="307" ht="19.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</row>
    <row r="308" ht="19.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</row>
    <row r="309" ht="19.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</row>
    <row r="310" ht="19.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</row>
    <row r="311" ht="19.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</row>
    <row r="312" ht="19.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</row>
    <row r="313" ht="19.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</row>
    <row r="314" ht="19.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</row>
    <row r="315" ht="19.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</row>
    <row r="316" ht="19.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</row>
    <row r="317" ht="19.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</row>
    <row r="318" ht="19.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</row>
    <row r="319" ht="19.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</row>
    <row r="320" ht="19.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</row>
    <row r="321" ht="19.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</row>
    <row r="322" ht="19.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</row>
    <row r="323" ht="19.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</row>
    <row r="324" ht="19.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</row>
    <row r="325" ht="19.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</row>
    <row r="326" ht="19.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</row>
    <row r="327" ht="19.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</row>
    <row r="328" ht="19.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</row>
    <row r="329" ht="19.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</row>
    <row r="330" ht="19.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</row>
    <row r="331" ht="19.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</row>
    <row r="332" ht="19.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</row>
    <row r="333" ht="19.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</row>
    <row r="334" ht="19.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</row>
    <row r="335" ht="19.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</row>
    <row r="336" ht="19.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</row>
    <row r="337" ht="19.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</row>
    <row r="338" ht="19.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</row>
    <row r="339" ht="19.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</row>
    <row r="340" ht="19.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</row>
    <row r="341" ht="19.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</row>
    <row r="342" ht="19.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</row>
    <row r="343" ht="19.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</row>
    <row r="344" ht="19.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</row>
    <row r="345" ht="19.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</row>
    <row r="346" ht="19.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</row>
    <row r="347" ht="19.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</row>
    <row r="348" ht="19.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</row>
    <row r="349" ht="19.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</row>
    <row r="350" ht="19.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</row>
    <row r="351" ht="19.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</row>
    <row r="352" ht="19.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</row>
    <row r="353" ht="19.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</row>
    <row r="354" ht="19.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</row>
    <row r="355" ht="19.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</row>
    <row r="356" ht="19.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</row>
    <row r="357" ht="19.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</row>
    <row r="358" ht="19.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</row>
    <row r="359" ht="19.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</row>
    <row r="360" ht="19.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</row>
    <row r="361" ht="19.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</row>
    <row r="362" ht="19.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</row>
    <row r="363" ht="19.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</row>
    <row r="364" ht="19.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</row>
    <row r="365" ht="19.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</row>
    <row r="366" ht="19.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</row>
    <row r="367" ht="19.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</row>
    <row r="368" ht="19.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</row>
    <row r="369" ht="19.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</row>
    <row r="370" ht="19.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</row>
    <row r="371" ht="19.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</row>
    <row r="372" ht="19.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</row>
    <row r="373" ht="19.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</row>
    <row r="374" ht="19.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</row>
    <row r="375" ht="19.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</row>
    <row r="376" ht="19.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</row>
    <row r="377" ht="19.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</row>
    <row r="378" ht="19.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</row>
    <row r="379" ht="19.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</row>
    <row r="380" ht="19.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</row>
    <row r="381" ht="19.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</row>
    <row r="382" ht="19.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</row>
    <row r="383" ht="19.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</row>
    <row r="384" ht="19.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</row>
    <row r="385" ht="19.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</row>
    <row r="386" ht="19.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</row>
    <row r="387" ht="19.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</row>
    <row r="388" ht="19.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</row>
    <row r="389" ht="19.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</row>
    <row r="390" ht="19.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</row>
    <row r="391" ht="19.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</row>
    <row r="392" ht="19.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</row>
    <row r="393" ht="19.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</row>
    <row r="394" ht="19.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</row>
    <row r="395" ht="19.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</row>
    <row r="396" ht="19.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</row>
    <row r="397" ht="19.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</row>
    <row r="398" ht="19.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</row>
    <row r="399" ht="19.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</row>
    <row r="400" ht="19.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</row>
    <row r="401" ht="19.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</row>
    <row r="402" ht="19.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</row>
    <row r="403" ht="19.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</row>
    <row r="404" ht="19.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</row>
    <row r="405" ht="19.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</row>
    <row r="406" ht="19.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</row>
    <row r="407" ht="19.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</row>
    <row r="408" ht="19.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</row>
    <row r="409" ht="19.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</row>
    <row r="410" ht="19.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</row>
    <row r="411" ht="19.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</row>
    <row r="412" ht="19.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</row>
    <row r="413" ht="19.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</row>
    <row r="414" ht="19.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</row>
    <row r="415" ht="19.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</row>
    <row r="416" ht="19.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</row>
    <row r="417" ht="19.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</row>
    <row r="418" ht="19.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</row>
    <row r="419" ht="19.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</row>
    <row r="420" ht="19.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</row>
    <row r="421" ht="19.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</row>
    <row r="422" ht="19.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</row>
    <row r="423" ht="19.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</row>
    <row r="424" ht="19.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</row>
    <row r="425" ht="19.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</row>
    <row r="426" ht="19.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</row>
    <row r="427" ht="19.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</row>
    <row r="428" ht="19.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</row>
    <row r="429" ht="19.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</row>
    <row r="430" ht="19.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</row>
    <row r="431" ht="19.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</row>
    <row r="432" ht="19.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</row>
    <row r="433" ht="19.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</row>
    <row r="434" ht="19.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</row>
    <row r="435" ht="19.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</row>
    <row r="436" ht="19.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</row>
    <row r="437" ht="19.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</row>
    <row r="438" ht="19.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</row>
    <row r="439" ht="19.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</row>
    <row r="440" ht="19.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</row>
    <row r="441" ht="19.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</row>
    <row r="442" ht="19.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</row>
    <row r="443" ht="19.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</row>
    <row r="444" ht="19.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</row>
    <row r="445" ht="19.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</row>
    <row r="446" ht="19.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</row>
    <row r="447" ht="19.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</row>
    <row r="448" ht="19.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</row>
    <row r="449" ht="19.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</row>
    <row r="450" ht="19.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</row>
    <row r="451" ht="19.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</row>
    <row r="452" ht="19.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</row>
    <row r="453" ht="19.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</row>
    <row r="454" ht="19.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</row>
    <row r="455" ht="19.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</row>
    <row r="456" ht="19.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</row>
    <row r="457" ht="19.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</row>
    <row r="458" ht="19.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</row>
    <row r="459" ht="19.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</row>
    <row r="460" ht="19.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</row>
    <row r="461" ht="19.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</row>
    <row r="462" ht="19.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</row>
    <row r="463" ht="19.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</row>
    <row r="464" ht="19.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</row>
    <row r="465" ht="19.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</row>
    <row r="466" ht="19.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</row>
    <row r="467" ht="19.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</row>
    <row r="468" ht="19.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</row>
    <row r="469" ht="19.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</row>
    <row r="470" ht="19.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</row>
    <row r="471" ht="19.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</row>
    <row r="472" ht="19.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</row>
    <row r="473" ht="19.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</row>
    <row r="474" ht="19.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</row>
    <row r="475" ht="19.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</row>
    <row r="476" ht="19.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</row>
    <row r="477" ht="19.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</row>
    <row r="478" ht="19.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</row>
    <row r="479" ht="19.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</row>
    <row r="480" ht="19.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</row>
    <row r="481" ht="19.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</row>
    <row r="482" ht="19.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</row>
    <row r="483" ht="19.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</row>
    <row r="484" ht="19.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</row>
    <row r="485" ht="19.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</row>
    <row r="486" ht="19.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</row>
    <row r="487" ht="19.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</row>
    <row r="488" ht="19.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</row>
    <row r="489" ht="19.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</row>
    <row r="490" ht="19.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</row>
    <row r="491" ht="19.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</row>
    <row r="492" ht="19.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</row>
    <row r="493" ht="19.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</row>
    <row r="494" ht="19.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</row>
    <row r="495" ht="19.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</row>
    <row r="496" ht="19.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</row>
    <row r="497" ht="19.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</row>
    <row r="498" ht="19.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</row>
    <row r="499" ht="19.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</row>
    <row r="500" ht="19.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</row>
    <row r="501" ht="19.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</row>
    <row r="502" ht="19.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</row>
    <row r="503" ht="19.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</row>
    <row r="504" ht="19.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</row>
    <row r="505" ht="19.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</row>
    <row r="506" ht="19.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</row>
    <row r="507" ht="19.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</row>
    <row r="508" ht="19.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</row>
    <row r="509" ht="19.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</row>
    <row r="510" ht="19.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</row>
    <row r="511" ht="19.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</row>
    <row r="512" ht="19.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</row>
    <row r="513" ht="19.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</row>
    <row r="514" ht="19.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</row>
    <row r="515" ht="19.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</row>
    <row r="516" ht="19.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</row>
    <row r="517" ht="19.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</row>
    <row r="518" ht="19.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</row>
    <row r="519" ht="19.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</row>
    <row r="520" ht="19.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</row>
    <row r="521" ht="19.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</row>
    <row r="522" ht="19.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</row>
    <row r="523" ht="19.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</row>
    <row r="524" ht="19.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</row>
    <row r="525" ht="19.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</row>
    <row r="526" ht="19.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</row>
    <row r="527" ht="19.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</row>
    <row r="528" ht="19.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</row>
    <row r="529" ht="19.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</row>
    <row r="530" ht="19.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</row>
    <row r="531" ht="19.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</row>
    <row r="532" ht="19.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</row>
    <row r="533" ht="19.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</row>
    <row r="534" ht="19.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</row>
    <row r="535" ht="19.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</row>
    <row r="536" ht="19.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</row>
    <row r="537" ht="19.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</row>
    <row r="538" ht="19.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</row>
    <row r="539" ht="19.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</row>
    <row r="540" ht="19.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</row>
    <row r="541" ht="19.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</row>
    <row r="542" ht="19.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</row>
    <row r="543" ht="19.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</row>
    <row r="544" ht="19.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</row>
    <row r="545" ht="19.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</row>
    <row r="546" ht="19.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</row>
    <row r="547" ht="19.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</row>
    <row r="548" ht="19.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</row>
    <row r="549" ht="19.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</row>
    <row r="550" ht="19.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</row>
    <row r="551" ht="19.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</row>
    <row r="552" ht="19.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</row>
    <row r="553" ht="19.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</row>
    <row r="554" ht="19.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</row>
    <row r="555" ht="19.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</row>
    <row r="556" ht="19.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</row>
    <row r="557" ht="19.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</row>
    <row r="558" ht="19.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</row>
    <row r="559" ht="19.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</row>
    <row r="560" ht="19.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</row>
    <row r="561" ht="19.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</row>
    <row r="562" ht="19.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</row>
    <row r="563" ht="19.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</row>
    <row r="564" ht="19.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</row>
    <row r="565" ht="19.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</row>
    <row r="566" ht="19.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</row>
    <row r="567" ht="19.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</row>
    <row r="568" ht="19.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</row>
    <row r="569" ht="19.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</row>
    <row r="570" ht="19.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</row>
    <row r="571" ht="19.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</row>
    <row r="572" ht="19.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</row>
    <row r="573" ht="19.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</row>
    <row r="574" ht="19.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</row>
    <row r="575" ht="19.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</row>
    <row r="576" ht="19.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</row>
    <row r="577" ht="19.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</row>
    <row r="578" ht="19.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</row>
    <row r="579" ht="19.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</row>
    <row r="580" ht="19.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</row>
    <row r="581" ht="19.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</row>
    <row r="582" ht="19.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</row>
    <row r="583" ht="19.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</row>
    <row r="584" ht="19.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</row>
    <row r="585" ht="19.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</row>
    <row r="586" ht="19.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</row>
    <row r="587" ht="19.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</row>
    <row r="588" ht="19.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</row>
    <row r="589" ht="19.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</row>
    <row r="590" ht="19.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</row>
    <row r="591" ht="19.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</row>
    <row r="592" ht="19.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</row>
    <row r="593" ht="19.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</row>
    <row r="594" ht="19.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</row>
    <row r="595" ht="19.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</row>
    <row r="596" ht="19.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</row>
    <row r="597" ht="19.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</row>
    <row r="598" ht="19.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</row>
    <row r="599" ht="19.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</row>
    <row r="600" ht="19.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</row>
    <row r="601" ht="19.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</row>
    <row r="602" ht="19.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</row>
    <row r="603" ht="19.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</row>
    <row r="604" ht="19.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</row>
    <row r="605" ht="19.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</row>
    <row r="606" ht="19.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</row>
    <row r="607" ht="19.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</row>
    <row r="608" ht="19.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</row>
    <row r="609" ht="19.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</row>
    <row r="610" ht="19.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</row>
    <row r="611" ht="19.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</row>
    <row r="612" ht="19.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</row>
    <row r="613" ht="19.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</row>
    <row r="614" ht="19.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</row>
    <row r="615" ht="19.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</row>
    <row r="616" ht="19.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</row>
    <row r="617" ht="19.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</row>
    <row r="618" ht="19.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</row>
    <row r="619" ht="19.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</row>
    <row r="620" ht="19.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</row>
    <row r="621" ht="19.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</row>
    <row r="622" ht="19.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</row>
    <row r="623" ht="19.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</row>
    <row r="624" ht="19.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</row>
    <row r="625" ht="19.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</row>
    <row r="626" ht="19.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</row>
    <row r="627" ht="19.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</row>
    <row r="628" ht="19.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</row>
    <row r="629" ht="19.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</row>
    <row r="630" ht="19.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</row>
    <row r="631" ht="19.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</row>
    <row r="632" ht="19.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</row>
    <row r="633" ht="19.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</row>
    <row r="634" ht="19.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</row>
    <row r="635" ht="19.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</row>
    <row r="636" ht="19.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</row>
    <row r="637" ht="19.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</row>
    <row r="638" ht="19.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</row>
    <row r="639" ht="19.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</row>
    <row r="640" ht="19.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</row>
    <row r="641" ht="19.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</row>
    <row r="642" ht="19.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</row>
    <row r="643" ht="19.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</row>
    <row r="644" ht="19.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</row>
    <row r="645" ht="19.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</row>
    <row r="646" ht="19.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</row>
    <row r="647" ht="19.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</row>
    <row r="648" ht="19.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</row>
    <row r="649" ht="19.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</row>
    <row r="650" ht="19.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</row>
    <row r="651" ht="19.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</row>
    <row r="652" ht="19.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</row>
    <row r="653" ht="19.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</row>
    <row r="654" ht="19.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</row>
    <row r="655" ht="19.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</row>
    <row r="656" ht="19.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</row>
    <row r="657" ht="19.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</row>
    <row r="658" ht="19.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</row>
    <row r="659" ht="19.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</row>
    <row r="660" ht="19.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</row>
    <row r="661" ht="19.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</row>
    <row r="662" ht="19.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</row>
    <row r="663" ht="19.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</row>
    <row r="664" ht="19.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</row>
    <row r="665" ht="19.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</row>
    <row r="666" ht="19.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</row>
    <row r="667" ht="19.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</row>
    <row r="668" ht="19.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</row>
    <row r="669" ht="19.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</row>
    <row r="670" ht="19.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</row>
    <row r="671" ht="19.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</row>
    <row r="672" ht="19.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</row>
    <row r="673" ht="19.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</row>
    <row r="674" ht="19.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</row>
    <row r="675" ht="19.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</row>
    <row r="676" ht="19.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</row>
    <row r="677" ht="19.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</row>
    <row r="678" ht="19.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</row>
    <row r="679" ht="19.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</row>
    <row r="680" ht="19.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</row>
    <row r="681" ht="19.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</row>
    <row r="682" ht="19.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</row>
    <row r="683" ht="19.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</row>
    <row r="684" ht="19.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</row>
    <row r="685" ht="19.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</row>
    <row r="686" ht="19.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</row>
    <row r="687" ht="19.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</row>
    <row r="688" ht="19.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</row>
    <row r="689" ht="19.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</row>
    <row r="690" ht="19.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</row>
    <row r="691" ht="19.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</row>
    <row r="692" ht="19.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</row>
    <row r="693" ht="19.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</row>
    <row r="694" ht="19.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</row>
    <row r="695" ht="19.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</row>
    <row r="696" ht="19.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</row>
    <row r="697" ht="19.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</row>
    <row r="698" ht="19.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</row>
    <row r="699" ht="19.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</row>
    <row r="700" ht="19.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</row>
    <row r="701" ht="19.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</row>
    <row r="702" ht="19.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</row>
    <row r="703" ht="19.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</row>
    <row r="704" ht="19.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</row>
    <row r="705" ht="19.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</row>
    <row r="706" ht="19.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</row>
    <row r="707" ht="19.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</row>
    <row r="708" ht="19.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</row>
    <row r="709" ht="19.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</row>
    <row r="710" ht="19.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</row>
    <row r="711" ht="19.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</row>
    <row r="712" ht="19.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</row>
    <row r="713" ht="19.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</row>
    <row r="714" ht="19.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</row>
    <row r="715" ht="19.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</row>
    <row r="716" ht="19.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</row>
    <row r="717" ht="19.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</row>
    <row r="718" ht="19.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</row>
    <row r="719" ht="19.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</row>
    <row r="720" ht="19.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</row>
    <row r="721" ht="19.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</row>
    <row r="722" ht="19.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</row>
    <row r="723" ht="19.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</row>
    <row r="724" ht="19.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</row>
    <row r="725" ht="19.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</row>
    <row r="726" ht="19.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</row>
    <row r="727" ht="19.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</row>
    <row r="728" ht="19.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</row>
    <row r="729" ht="19.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</row>
    <row r="730" ht="19.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</row>
    <row r="731" ht="19.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</row>
    <row r="732" ht="19.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</row>
    <row r="733" ht="19.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</row>
    <row r="734" ht="19.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</row>
    <row r="735" ht="19.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</row>
    <row r="736" ht="19.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</row>
    <row r="737" ht="19.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</row>
    <row r="738" ht="19.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</row>
    <row r="739" ht="19.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</row>
    <row r="740" ht="19.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</row>
    <row r="741" ht="19.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</row>
    <row r="742" ht="19.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</row>
    <row r="743" ht="19.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</row>
    <row r="744" ht="19.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</row>
    <row r="745" ht="19.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</row>
    <row r="746" ht="19.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</row>
    <row r="747" ht="19.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</row>
    <row r="748" ht="19.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</row>
    <row r="749" ht="19.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</row>
    <row r="750" ht="19.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</row>
    <row r="751" ht="19.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</row>
    <row r="752" ht="19.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</row>
    <row r="753" ht="19.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</row>
    <row r="754" ht="19.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</row>
    <row r="755" ht="19.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</row>
    <row r="756" ht="19.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</row>
    <row r="757" ht="19.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</row>
    <row r="758" ht="19.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</row>
    <row r="759" ht="19.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</row>
    <row r="760" ht="19.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</row>
    <row r="761" ht="19.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</row>
    <row r="762" ht="19.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</row>
    <row r="763" ht="19.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</row>
    <row r="764" ht="19.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</row>
    <row r="765" ht="19.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</row>
    <row r="766" ht="19.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</row>
    <row r="767" ht="19.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</row>
    <row r="768" ht="19.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</row>
    <row r="769" ht="19.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</row>
    <row r="770" ht="19.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</row>
    <row r="771" ht="19.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</row>
    <row r="772" ht="19.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</row>
    <row r="773" ht="19.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</row>
    <row r="774" ht="19.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</row>
    <row r="775" ht="19.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</row>
    <row r="776" ht="19.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</row>
    <row r="777" ht="19.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</row>
    <row r="778" ht="19.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</row>
    <row r="779" ht="19.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</row>
    <row r="780" ht="19.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</row>
    <row r="781" ht="19.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</row>
    <row r="782" ht="19.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</row>
    <row r="783" ht="19.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</row>
    <row r="784" ht="19.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</row>
    <row r="785" ht="19.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</row>
    <row r="786" ht="19.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</row>
    <row r="787" ht="19.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</row>
    <row r="788" ht="19.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</row>
    <row r="789" ht="19.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</row>
    <row r="790" ht="19.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</row>
    <row r="791" ht="19.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</row>
    <row r="792" ht="19.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</row>
    <row r="793" ht="19.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</row>
    <row r="794" ht="19.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</row>
    <row r="795" ht="19.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</row>
    <row r="796" ht="19.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</row>
    <row r="797" ht="19.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</row>
    <row r="798" ht="19.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</row>
    <row r="799" ht="19.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</row>
    <row r="800" ht="19.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</row>
    <row r="801" ht="19.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</row>
    <row r="802" ht="19.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</row>
    <row r="803" ht="19.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</row>
    <row r="804" ht="19.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</row>
    <row r="805" ht="19.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</row>
    <row r="806" ht="19.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</row>
    <row r="807" ht="19.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</row>
    <row r="808" ht="19.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</row>
    <row r="809" ht="19.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</row>
    <row r="810" ht="19.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</row>
    <row r="811" ht="19.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</row>
    <row r="812" ht="19.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</row>
    <row r="813" ht="19.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</row>
    <row r="814" ht="19.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</row>
    <row r="815" ht="19.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</row>
    <row r="816" ht="19.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</row>
    <row r="817" ht="19.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</row>
    <row r="818" ht="19.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</row>
    <row r="819" ht="19.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</row>
    <row r="820" ht="19.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</row>
    <row r="821" ht="19.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</row>
    <row r="822" ht="19.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</row>
    <row r="823" ht="19.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</row>
    <row r="824" ht="19.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</row>
    <row r="825" ht="19.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</row>
    <row r="826" ht="19.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</row>
    <row r="827" ht="19.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</row>
    <row r="828" ht="19.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</row>
    <row r="829" ht="19.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</row>
    <row r="830" ht="19.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</row>
    <row r="831" ht="19.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</row>
    <row r="832" ht="19.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</row>
    <row r="833" ht="19.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</row>
    <row r="834" ht="19.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</row>
    <row r="835" ht="19.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</row>
    <row r="836" ht="19.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</row>
    <row r="837" ht="19.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</row>
    <row r="838" ht="19.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</row>
    <row r="839" ht="19.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</row>
    <row r="840" ht="19.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</row>
    <row r="841" ht="19.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</row>
    <row r="842" ht="19.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</row>
    <row r="843" ht="19.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</row>
    <row r="844" ht="19.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</row>
    <row r="845" ht="19.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</row>
    <row r="846" ht="19.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</row>
    <row r="847" ht="19.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</row>
    <row r="848" ht="19.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</row>
    <row r="849" ht="19.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</row>
    <row r="850" ht="19.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</row>
    <row r="851" ht="19.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</row>
    <row r="852" ht="19.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</row>
    <row r="853" ht="19.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</row>
    <row r="854" ht="19.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</row>
    <row r="855" ht="19.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</row>
    <row r="856" ht="19.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</row>
    <row r="857" ht="19.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</row>
    <row r="858" ht="19.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</row>
    <row r="859" ht="19.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</row>
    <row r="860" ht="19.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</row>
    <row r="861" ht="19.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</row>
    <row r="862" ht="19.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</row>
    <row r="863" ht="19.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</row>
    <row r="864" ht="19.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</row>
    <row r="865" ht="19.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</row>
    <row r="866" ht="19.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</row>
    <row r="867" ht="19.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</row>
    <row r="868" ht="19.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</row>
    <row r="869" ht="19.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</row>
    <row r="870" ht="19.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</row>
    <row r="871" ht="19.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</row>
    <row r="872" ht="19.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</row>
    <row r="873" ht="19.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</row>
    <row r="874" ht="19.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</row>
    <row r="875" ht="19.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</row>
    <row r="876" ht="19.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</row>
    <row r="877" ht="19.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</row>
    <row r="878" ht="19.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</row>
    <row r="879" ht="19.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</row>
    <row r="880" ht="19.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</row>
    <row r="881" ht="19.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</row>
    <row r="882" ht="19.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</row>
    <row r="883" ht="19.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</row>
    <row r="884" ht="19.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</row>
    <row r="885" ht="19.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</row>
    <row r="886" ht="19.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</row>
    <row r="887" ht="19.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</row>
    <row r="888" ht="19.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</row>
    <row r="889" ht="19.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</row>
    <row r="890" ht="19.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</row>
    <row r="891" ht="19.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</row>
    <row r="892" ht="19.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</row>
    <row r="893" ht="19.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</row>
    <row r="894" ht="19.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</row>
    <row r="895" ht="19.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</row>
    <row r="896" ht="19.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</row>
    <row r="897" ht="19.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</row>
    <row r="898" ht="19.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</row>
    <row r="899" ht="19.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</row>
    <row r="900" ht="19.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</row>
    <row r="901" ht="19.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</row>
    <row r="902" ht="19.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</row>
    <row r="903" ht="19.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</row>
    <row r="904" ht="19.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</row>
    <row r="905" ht="19.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</row>
    <row r="906" ht="19.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</row>
    <row r="907" ht="19.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</row>
    <row r="908" ht="19.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</row>
    <row r="909" ht="19.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</row>
    <row r="910" ht="19.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</row>
    <row r="911" ht="19.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</row>
    <row r="912" ht="19.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</row>
    <row r="913" ht="19.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</row>
    <row r="914" ht="19.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</row>
    <row r="915" ht="19.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</row>
    <row r="916" ht="19.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</row>
    <row r="917" ht="19.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</row>
    <row r="918" ht="19.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</row>
    <row r="919" ht="19.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</row>
    <row r="920" ht="19.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</row>
    <row r="921" ht="19.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</row>
    <row r="922" ht="19.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</row>
    <row r="923" ht="19.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</row>
    <row r="924" ht="19.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</row>
    <row r="925" ht="19.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</row>
    <row r="926" ht="19.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</row>
    <row r="927" ht="19.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</row>
    <row r="928" ht="19.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</row>
    <row r="929" ht="19.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</row>
    <row r="930" ht="19.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</row>
    <row r="931" ht="19.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</row>
    <row r="932" ht="19.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</row>
    <row r="933" ht="19.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</row>
    <row r="934" ht="19.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</row>
    <row r="935" ht="19.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</row>
    <row r="936" ht="19.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</row>
    <row r="937" ht="19.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</row>
    <row r="938" ht="19.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</row>
    <row r="939" ht="19.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</row>
    <row r="940" ht="19.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</row>
    <row r="941" ht="19.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</row>
    <row r="942" ht="19.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</row>
    <row r="943" ht="19.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</row>
    <row r="944" ht="19.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</row>
    <row r="945" ht="19.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</row>
    <row r="946" ht="19.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</row>
    <row r="947" ht="19.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</row>
    <row r="948" ht="19.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</row>
    <row r="949" ht="19.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</row>
    <row r="950" ht="19.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</row>
    <row r="951" ht="19.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</row>
    <row r="952" ht="19.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</row>
    <row r="953" ht="19.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</row>
    <row r="954" ht="19.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</row>
    <row r="955" ht="19.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</row>
    <row r="956" ht="19.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</row>
    <row r="957" ht="19.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</row>
    <row r="958" ht="19.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</row>
    <row r="959" ht="19.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</row>
    <row r="960" ht="19.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</row>
    <row r="961" ht="19.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</row>
    <row r="962" ht="19.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</row>
    <row r="963" ht="19.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</row>
    <row r="964" ht="19.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</row>
    <row r="965" ht="19.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</row>
    <row r="966" ht="19.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</row>
    <row r="967" ht="19.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</row>
    <row r="968" ht="19.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</row>
    <row r="969" ht="19.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</row>
    <row r="970" ht="19.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</row>
    <row r="971" ht="19.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</row>
    <row r="972" ht="19.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</row>
    <row r="973" ht="19.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</row>
    <row r="974" ht="19.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</row>
    <row r="975" ht="19.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</row>
    <row r="976" ht="19.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</row>
    <row r="977" ht="19.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</row>
    <row r="978" ht="19.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</row>
    <row r="979" ht="19.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</row>
    <row r="980" ht="19.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</row>
    <row r="981" ht="19.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</row>
    <row r="982" ht="19.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</row>
    <row r="983" ht="19.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</row>
    <row r="984" ht="19.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</row>
    <row r="985" ht="19.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</row>
    <row r="986" ht="19.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</row>
    <row r="987" ht="19.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</row>
    <row r="988" ht="19.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</row>
    <row r="989" ht="19.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</row>
    <row r="990" ht="19.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</row>
    <row r="991" ht="19.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</row>
    <row r="992" ht="19.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</row>
    <row r="993" ht="19.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</row>
    <row r="994" ht="19.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</row>
    <row r="995" ht="19.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</row>
    <row r="996" ht="19.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</row>
    <row r="997" ht="19.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</row>
    <row r="998" ht="19.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</row>
    <row r="999" ht="19.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</row>
    <row r="1000" ht="19.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</row>
  </sheetData>
  <mergeCells count="25">
    <mergeCell ref="AH3:AI3"/>
    <mergeCell ref="B10:AI10"/>
    <mergeCell ref="B16:AI16"/>
    <mergeCell ref="B22:AI22"/>
    <mergeCell ref="A1:AJ1"/>
    <mergeCell ref="A2:R2"/>
    <mergeCell ref="T2:AH2"/>
    <mergeCell ref="A3:A4"/>
    <mergeCell ref="B3:C3"/>
    <mergeCell ref="D3:E3"/>
    <mergeCell ref="F3:G3"/>
    <mergeCell ref="H3:I3"/>
    <mergeCell ref="J3:K3"/>
    <mergeCell ref="L3:M3"/>
    <mergeCell ref="N3:O3"/>
    <mergeCell ref="P3:Q3"/>
    <mergeCell ref="R3:R4"/>
    <mergeCell ref="S3:S4"/>
    <mergeCell ref="T3:U3"/>
    <mergeCell ref="V3:W3"/>
    <mergeCell ref="X3:Y3"/>
    <mergeCell ref="Z3:AA3"/>
    <mergeCell ref="AB3:AC3"/>
    <mergeCell ref="AD3:AE3"/>
    <mergeCell ref="AF3:AG3"/>
  </mergeCells>
  <conditionalFormatting sqref="T5:T6">
    <cfRule type="cellIs" dxfId="0" priority="1" stopIfTrue="1" operator="equal">
      <formula>AJ5</formula>
    </cfRule>
  </conditionalFormatting>
  <conditionalFormatting sqref="V5:V9 AF7:AF9 V11:V15 AF11:AF15 V17:V21 AF17:AF21 V23:V27 AF23:AF27">
    <cfRule type="cellIs" dxfId="0" priority="2" stopIfTrue="1" operator="equal">
      <formula>AJ5</formula>
    </cfRule>
  </conditionalFormatting>
  <conditionalFormatting sqref="X5:X9 X11:X15 X17:X21 X23:X27">
    <cfRule type="cellIs" dxfId="0" priority="3" stopIfTrue="1" operator="equal">
      <formula>AJ5</formula>
    </cfRule>
  </conditionalFormatting>
  <conditionalFormatting sqref="Z5:Z9 Z11:Z15 Z17:Z21 Z23:Z27">
    <cfRule type="cellIs" dxfId="0" priority="4" stopIfTrue="1" operator="equal">
      <formula>AJ5</formula>
    </cfRule>
  </conditionalFormatting>
  <conditionalFormatting sqref="AB5:AB9 AB11:AB15 AB17:AB21 AB23:AB27">
    <cfRule type="cellIs" dxfId="0" priority="5" stopIfTrue="1" operator="equal">
      <formula>AJ5</formula>
    </cfRule>
  </conditionalFormatting>
  <conditionalFormatting sqref="AD5:AD9 AD11:AD15 AD17:AD21 AD23:AD27">
    <cfRule type="cellIs" dxfId="0" priority="6" stopIfTrue="1" operator="equal">
      <formula>AJ5</formula>
    </cfRule>
  </conditionalFormatting>
  <conditionalFormatting sqref="T7:T9 T11:T15 T17:T21 T23:T27">
    <cfRule type="cellIs" dxfId="0" priority="7" stopIfTrue="1" operator="equal">
      <formula>AJ7</formula>
    </cfRule>
  </conditionalFormatting>
  <printOptions/>
  <pageMargins bottom="1.0" footer="0.0" header="0.0" left="1.0" right="1.0" top="1.0"/>
  <pageSetup paperSize="8" orientation="landscape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28" width="16.29"/>
  </cols>
  <sheetData>
    <row r="1" ht="28.5" customHeight="1">
      <c r="A1" s="6" t="s">
        <v>10</v>
      </c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</row>
    <row r="2" ht="20.25" customHeight="1">
      <c r="A2" s="64"/>
      <c r="B2" s="65" t="s">
        <v>27</v>
      </c>
      <c r="C2" s="65" t="s">
        <v>28</v>
      </c>
      <c r="D2" s="65" t="s">
        <v>29</v>
      </c>
      <c r="E2" s="65" t="s">
        <v>30</v>
      </c>
      <c r="F2" s="65" t="s">
        <v>31</v>
      </c>
      <c r="G2" s="66" t="s">
        <v>32</v>
      </c>
      <c r="H2" s="66" t="s">
        <v>33</v>
      </c>
      <c r="I2" s="65" t="s">
        <v>59</v>
      </c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</row>
    <row r="3" ht="43.5" customHeight="1">
      <c r="A3" s="67" t="s">
        <v>60</v>
      </c>
      <c r="B3" s="68"/>
      <c r="C3" s="35"/>
      <c r="D3" s="35"/>
      <c r="E3" s="35"/>
      <c r="F3" s="69"/>
      <c r="G3" s="69"/>
      <c r="H3" s="69"/>
      <c r="I3" s="30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</row>
    <row r="4" ht="43.5" customHeight="1">
      <c r="A4" s="70" t="s">
        <v>61</v>
      </c>
      <c r="B4" s="71"/>
      <c r="C4" s="52"/>
      <c r="D4" s="52"/>
      <c r="E4" s="52"/>
      <c r="F4" s="60"/>
      <c r="G4" s="60"/>
      <c r="H4" s="60"/>
      <c r="I4" s="47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</row>
    <row r="5" ht="43.5" customHeight="1">
      <c r="A5" s="70" t="s">
        <v>62</v>
      </c>
      <c r="B5" s="71"/>
      <c r="C5" s="52"/>
      <c r="D5" s="52"/>
      <c r="E5" s="52"/>
      <c r="F5" s="60"/>
      <c r="G5" s="60"/>
      <c r="H5" s="60"/>
      <c r="I5" s="47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</row>
    <row r="6" ht="43.5" customHeight="1">
      <c r="A6" s="72" t="s">
        <v>63</v>
      </c>
      <c r="B6" s="71"/>
      <c r="C6" s="52"/>
      <c r="D6" s="52"/>
      <c r="E6" s="52"/>
      <c r="F6" s="60"/>
      <c r="G6" s="60"/>
      <c r="H6" s="60"/>
      <c r="I6" s="47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</row>
    <row r="7" ht="43.5" customHeight="1">
      <c r="A7" s="73" t="s">
        <v>64</v>
      </c>
      <c r="B7" s="71"/>
      <c r="C7" s="52"/>
      <c r="D7" s="52"/>
      <c r="E7" s="52"/>
      <c r="F7" s="60"/>
      <c r="G7" s="60"/>
      <c r="H7" s="60"/>
      <c r="I7" s="47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 ht="43.5" customHeight="1">
      <c r="A8" s="73" t="s">
        <v>65</v>
      </c>
      <c r="B8" s="71"/>
      <c r="C8" s="52"/>
      <c r="D8" s="52"/>
      <c r="E8" s="52"/>
      <c r="F8" s="60"/>
      <c r="G8" s="60"/>
      <c r="H8" s="60"/>
      <c r="I8" s="47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ht="43.5" customHeight="1">
      <c r="A9" s="73" t="s">
        <v>66</v>
      </c>
      <c r="B9" s="71"/>
      <c r="C9" s="52"/>
      <c r="D9" s="52"/>
      <c r="E9" s="52"/>
      <c r="F9" s="60"/>
      <c r="G9" s="60"/>
      <c r="H9" s="60"/>
      <c r="I9" s="47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</row>
    <row r="10" ht="43.5" customHeight="1">
      <c r="A10" s="70" t="s">
        <v>67</v>
      </c>
      <c r="B10" s="71"/>
      <c r="C10" s="52"/>
      <c r="D10" s="52"/>
      <c r="E10" s="52"/>
      <c r="F10" s="60"/>
      <c r="G10" s="60"/>
      <c r="H10" s="60"/>
      <c r="I10" s="47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</row>
    <row r="11" ht="43.5" customHeight="1">
      <c r="A11" s="70" t="s">
        <v>68</v>
      </c>
      <c r="B11" s="71"/>
      <c r="C11" s="52"/>
      <c r="D11" s="52"/>
      <c r="E11" s="52"/>
      <c r="F11" s="60"/>
      <c r="G11" s="60"/>
      <c r="H11" s="60"/>
      <c r="I11" s="47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</row>
    <row r="12" ht="43.5" customHeight="1">
      <c r="A12" s="74" t="s">
        <v>69</v>
      </c>
      <c r="B12" s="71"/>
      <c r="C12" s="52"/>
      <c r="D12" s="52"/>
      <c r="E12" s="52"/>
      <c r="F12" s="60"/>
      <c r="G12" s="60"/>
      <c r="H12" s="60"/>
      <c r="I12" s="47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</row>
    <row r="13" ht="43.5" customHeight="1">
      <c r="A13" s="70" t="s">
        <v>70</v>
      </c>
      <c r="B13" s="71"/>
      <c r="C13" s="52"/>
      <c r="D13" s="52"/>
      <c r="E13" s="52"/>
      <c r="F13" s="60"/>
      <c r="G13" s="60"/>
      <c r="H13" s="60"/>
      <c r="I13" s="47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</row>
    <row r="14" ht="43.5" customHeight="1">
      <c r="A14" s="70" t="s">
        <v>71</v>
      </c>
      <c r="B14" s="71"/>
      <c r="C14" s="52"/>
      <c r="D14" s="52"/>
      <c r="E14" s="52"/>
      <c r="F14" s="60"/>
      <c r="G14" s="60"/>
      <c r="H14" s="60"/>
      <c r="I14" s="47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</row>
    <row r="15" ht="43.5" customHeight="1">
      <c r="A15" s="75" t="s">
        <v>72</v>
      </c>
      <c r="B15" s="71"/>
      <c r="C15" s="52"/>
      <c r="D15" s="52"/>
      <c r="E15" s="52"/>
      <c r="F15" s="60"/>
      <c r="G15" s="60"/>
      <c r="H15" s="60"/>
      <c r="I15" s="47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</row>
    <row r="16" ht="19.5" customHeight="1">
      <c r="A16" s="63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</row>
    <row r="17" ht="19.5" customHeight="1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</row>
    <row r="18" ht="19.5" customHeight="1">
      <c r="A18" s="63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</row>
    <row r="19" ht="19.5" customHeight="1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</row>
    <row r="20" ht="19.5" customHeight="1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</row>
    <row r="21" ht="19.5" customHeight="1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</row>
    <row r="22" ht="19.5" customHeight="1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</row>
    <row r="23" ht="19.5" customHeight="1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</row>
    <row r="24" ht="19.5" customHeight="1">
      <c r="A24" s="63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</row>
    <row r="25" ht="19.5" customHeight="1">
      <c r="A25" s="63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</row>
    <row r="26" ht="19.5" customHeight="1">
      <c r="A26" s="63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</row>
    <row r="27" ht="19.5" customHeight="1">
      <c r="A27" s="63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</row>
    <row r="28" ht="19.5" customHeight="1">
      <c r="A28" s="63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</row>
    <row r="29" ht="19.5" customHeight="1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</row>
    <row r="30" ht="19.5" customHeight="1">
      <c r="A30" s="63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</row>
    <row r="31" ht="19.5" customHeight="1">
      <c r="A31" s="63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</row>
    <row r="32" ht="19.5" customHeight="1">
      <c r="A32" s="63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</row>
    <row r="33" ht="19.5" customHeight="1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</row>
    <row r="34" ht="19.5" customHeight="1">
      <c r="A34" s="63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</row>
    <row r="35" ht="19.5" customHeight="1">
      <c r="A35" s="63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</row>
    <row r="36" ht="19.5" customHeight="1">
      <c r="A36" s="63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</row>
    <row r="37" ht="19.5" customHeight="1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</row>
    <row r="38" ht="19.5" customHeight="1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</row>
    <row r="39" ht="19.5" customHeight="1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</row>
    <row r="40" ht="19.5" customHeight="1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</row>
    <row r="41" ht="19.5" customHeight="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</row>
    <row r="42" ht="19.5" customHeight="1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</row>
    <row r="43" ht="19.5" customHeight="1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</row>
    <row r="44" ht="19.5" customHeight="1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</row>
    <row r="45" ht="19.5" customHeight="1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</row>
    <row r="46" ht="19.5" customHeight="1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</row>
    <row r="47" ht="19.5" customHeight="1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</row>
    <row r="48" ht="19.5" customHeight="1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</row>
    <row r="49" ht="19.5" customHeight="1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</row>
    <row r="50" ht="19.5" customHeight="1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</row>
    <row r="51" ht="19.5" customHeight="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</row>
    <row r="52" ht="19.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</row>
    <row r="53" ht="19.5" customHeight="1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</row>
    <row r="54" ht="19.5" customHeight="1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</row>
    <row r="55" ht="19.5" customHeight="1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</row>
    <row r="56" ht="19.5" customHeight="1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</row>
    <row r="57" ht="19.5" customHeight="1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</row>
    <row r="58" ht="19.5" customHeight="1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</row>
    <row r="59" ht="19.5" customHeight="1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</row>
    <row r="60" ht="19.5" customHeight="1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</row>
    <row r="61" ht="19.5" customHeight="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</row>
    <row r="62" ht="19.5" customHeight="1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</row>
    <row r="63" ht="19.5" customHeight="1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</row>
    <row r="64" ht="19.5" customHeight="1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</row>
    <row r="65" ht="19.5" customHeight="1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</row>
    <row r="66" ht="19.5" customHeight="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</row>
    <row r="67" ht="19.5" customHeight="1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</row>
    <row r="68" ht="19.5" customHeight="1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</row>
    <row r="69" ht="19.5" customHeight="1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</row>
    <row r="70" ht="19.5" customHeight="1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</row>
    <row r="71" ht="19.5" customHeight="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</row>
    <row r="72" ht="19.5" customHeight="1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</row>
    <row r="73" ht="19.5" customHeight="1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</row>
    <row r="74" ht="19.5" customHeight="1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</row>
    <row r="75" ht="19.5" customHeight="1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</row>
    <row r="76" ht="19.5" customHeight="1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</row>
    <row r="77" ht="19.5" customHeight="1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</row>
    <row r="78" ht="19.5" customHeight="1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</row>
    <row r="79" ht="19.5" customHeight="1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</row>
    <row r="80" ht="19.5" customHeight="1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</row>
    <row r="81" ht="19.5" customHeight="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</row>
    <row r="82" ht="19.5" customHeight="1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</row>
    <row r="83" ht="19.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</row>
    <row r="84" ht="19.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</row>
    <row r="85" ht="19.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</row>
    <row r="86" ht="19.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</row>
    <row r="87" ht="19.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</row>
    <row r="88" ht="19.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</row>
    <row r="89" ht="19.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</row>
    <row r="90" ht="19.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</row>
    <row r="91" ht="19.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</row>
    <row r="92" ht="19.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</row>
    <row r="93" ht="19.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</row>
    <row r="94" ht="19.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</row>
    <row r="95" ht="19.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</row>
    <row r="96" ht="19.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</row>
    <row r="97" ht="19.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</row>
    <row r="98" ht="19.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</row>
    <row r="99" ht="19.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</row>
    <row r="100" ht="19.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</row>
    <row r="101" ht="19.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</row>
    <row r="102" ht="19.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</row>
    <row r="103" ht="19.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</row>
    <row r="104" ht="19.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</row>
    <row r="105" ht="19.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</row>
    <row r="106" ht="19.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</row>
    <row r="107" ht="19.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</row>
    <row r="108" ht="19.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</row>
    <row r="109" ht="19.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</row>
    <row r="110" ht="19.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</row>
    <row r="111" ht="19.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</row>
    <row r="112" ht="19.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</row>
    <row r="113" ht="19.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</row>
    <row r="114" ht="19.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</row>
    <row r="115" ht="19.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</row>
    <row r="116" ht="19.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</row>
    <row r="117" ht="19.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</row>
    <row r="118" ht="19.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</row>
    <row r="119" ht="19.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</row>
    <row r="120" ht="19.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</row>
    <row r="121" ht="19.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</row>
    <row r="122" ht="19.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</row>
    <row r="123" ht="19.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</row>
    <row r="124" ht="19.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</row>
    <row r="125" ht="19.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</row>
    <row r="126" ht="19.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</row>
    <row r="127" ht="19.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</row>
    <row r="128" ht="19.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</row>
    <row r="129" ht="19.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</row>
    <row r="130" ht="19.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</row>
    <row r="131" ht="19.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</row>
    <row r="132" ht="19.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</row>
    <row r="133" ht="19.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</row>
    <row r="134" ht="19.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</row>
    <row r="135" ht="19.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</row>
    <row r="136" ht="19.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</row>
    <row r="137" ht="19.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</row>
    <row r="138" ht="19.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</row>
    <row r="139" ht="19.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</row>
    <row r="140" ht="19.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</row>
    <row r="141" ht="19.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</row>
    <row r="142" ht="19.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</row>
    <row r="143" ht="19.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</row>
    <row r="144" ht="19.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</row>
    <row r="145" ht="19.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</row>
    <row r="146" ht="19.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</row>
    <row r="147" ht="19.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</row>
    <row r="148" ht="19.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</row>
    <row r="149" ht="19.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</row>
    <row r="150" ht="19.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</row>
    <row r="151" ht="19.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</row>
    <row r="152" ht="19.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</row>
    <row r="153" ht="19.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</row>
    <row r="154" ht="19.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</row>
    <row r="155" ht="19.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</row>
    <row r="156" ht="19.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</row>
    <row r="157" ht="19.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</row>
    <row r="158" ht="19.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</row>
    <row r="159" ht="19.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</row>
    <row r="160" ht="19.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</row>
    <row r="161" ht="19.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</row>
    <row r="162" ht="19.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</row>
    <row r="163" ht="19.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</row>
    <row r="164" ht="19.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</row>
    <row r="165" ht="19.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</row>
    <row r="166" ht="19.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</row>
    <row r="167" ht="19.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</row>
    <row r="168" ht="19.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</row>
    <row r="169" ht="19.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</row>
    <row r="170" ht="19.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</row>
    <row r="171" ht="19.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</row>
    <row r="172" ht="19.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</row>
    <row r="173" ht="19.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</row>
    <row r="174" ht="19.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</row>
    <row r="175" ht="19.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</row>
    <row r="176" ht="19.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</row>
    <row r="177" ht="19.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</row>
    <row r="178" ht="19.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</row>
    <row r="179" ht="19.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</row>
    <row r="180" ht="19.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</row>
    <row r="181" ht="19.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</row>
    <row r="182" ht="19.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</row>
    <row r="183" ht="19.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</row>
    <row r="184" ht="19.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</row>
    <row r="185" ht="19.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</row>
    <row r="186" ht="19.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</row>
    <row r="187" ht="19.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</row>
    <row r="188" ht="19.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</row>
    <row r="189" ht="19.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</row>
    <row r="190" ht="19.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</row>
    <row r="191" ht="19.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</row>
    <row r="192" ht="19.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</row>
    <row r="193" ht="19.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</row>
    <row r="194" ht="19.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</row>
    <row r="195" ht="19.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</row>
    <row r="196" ht="19.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</row>
    <row r="197" ht="19.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</row>
    <row r="198" ht="19.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</row>
    <row r="199" ht="19.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</row>
    <row r="200" ht="19.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</row>
    <row r="201" ht="19.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</row>
    <row r="202" ht="19.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</row>
    <row r="203" ht="19.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</row>
    <row r="204" ht="19.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</row>
    <row r="205" ht="19.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</row>
    <row r="206" ht="19.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</row>
    <row r="207" ht="19.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</row>
    <row r="208" ht="19.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</row>
    <row r="209" ht="19.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</row>
    <row r="210" ht="19.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</row>
    <row r="211" ht="19.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</row>
    <row r="212" ht="19.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</row>
    <row r="213" ht="19.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</row>
    <row r="214" ht="19.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</row>
    <row r="215" ht="19.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</row>
    <row r="216" ht="19.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</row>
    <row r="217" ht="19.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</row>
    <row r="218" ht="19.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</row>
    <row r="219" ht="19.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</row>
    <row r="220" ht="19.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</row>
    <row r="221" ht="19.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</row>
    <row r="222" ht="19.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</row>
    <row r="223" ht="19.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</row>
    <row r="224" ht="19.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</row>
    <row r="225" ht="19.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</row>
    <row r="226" ht="19.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</row>
    <row r="227" ht="19.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</row>
    <row r="228" ht="19.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</row>
    <row r="229" ht="19.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</row>
    <row r="230" ht="19.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</row>
    <row r="231" ht="19.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</row>
    <row r="232" ht="19.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</row>
    <row r="233" ht="19.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</row>
    <row r="234" ht="19.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</row>
    <row r="235" ht="19.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</row>
    <row r="236" ht="19.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</row>
    <row r="237" ht="19.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</row>
    <row r="238" ht="19.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</row>
    <row r="239" ht="19.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</row>
    <row r="240" ht="19.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</row>
    <row r="241" ht="19.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</row>
    <row r="242" ht="19.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</row>
    <row r="243" ht="19.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</row>
    <row r="244" ht="19.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</row>
    <row r="245" ht="19.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</row>
    <row r="246" ht="19.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</row>
    <row r="247" ht="19.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</row>
    <row r="248" ht="19.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</row>
    <row r="249" ht="19.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</row>
    <row r="250" ht="19.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</row>
    <row r="251" ht="19.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</row>
    <row r="252" ht="19.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</row>
    <row r="253" ht="19.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</row>
    <row r="254" ht="19.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</row>
    <row r="255" ht="19.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</row>
    <row r="256" ht="19.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</row>
    <row r="257" ht="19.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</row>
    <row r="258" ht="19.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</row>
    <row r="259" ht="19.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</row>
    <row r="260" ht="19.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</row>
    <row r="261" ht="19.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</row>
    <row r="262" ht="19.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</row>
    <row r="263" ht="19.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</row>
    <row r="264" ht="19.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</row>
    <row r="265" ht="19.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</row>
    <row r="266" ht="19.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</row>
    <row r="267" ht="19.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</row>
    <row r="268" ht="19.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</row>
    <row r="269" ht="19.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</row>
    <row r="270" ht="19.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</row>
    <row r="271" ht="19.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</row>
    <row r="272" ht="19.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</row>
    <row r="273" ht="19.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</row>
    <row r="274" ht="19.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</row>
    <row r="275" ht="19.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</row>
    <row r="276" ht="19.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</row>
    <row r="277" ht="19.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</row>
    <row r="278" ht="19.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</row>
    <row r="279" ht="19.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</row>
    <row r="280" ht="19.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</row>
    <row r="281" ht="19.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</row>
    <row r="282" ht="19.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</row>
    <row r="283" ht="19.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</row>
    <row r="284" ht="19.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</row>
    <row r="285" ht="19.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</row>
    <row r="286" ht="19.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</row>
    <row r="287" ht="19.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</row>
    <row r="288" ht="19.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</row>
    <row r="289" ht="19.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</row>
    <row r="290" ht="19.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</row>
    <row r="291" ht="19.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</row>
    <row r="292" ht="19.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</row>
    <row r="293" ht="19.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</row>
    <row r="294" ht="19.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</row>
    <row r="295" ht="19.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</row>
    <row r="296" ht="19.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</row>
    <row r="297" ht="19.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</row>
    <row r="298" ht="19.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</row>
    <row r="299" ht="19.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</row>
    <row r="300" ht="19.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</row>
    <row r="301" ht="19.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</row>
    <row r="302" ht="19.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</row>
    <row r="303" ht="19.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</row>
    <row r="304" ht="19.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</row>
    <row r="305" ht="19.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</row>
    <row r="306" ht="19.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</row>
    <row r="307" ht="19.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</row>
    <row r="308" ht="19.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</row>
    <row r="309" ht="19.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</row>
    <row r="310" ht="19.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</row>
    <row r="311" ht="19.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</row>
    <row r="312" ht="19.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</row>
    <row r="313" ht="19.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</row>
    <row r="314" ht="19.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</row>
    <row r="315" ht="19.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</row>
    <row r="316" ht="19.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</row>
    <row r="317" ht="19.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</row>
    <row r="318" ht="19.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</row>
    <row r="319" ht="19.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</row>
    <row r="320" ht="19.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</row>
    <row r="321" ht="19.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</row>
    <row r="322" ht="19.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</row>
    <row r="323" ht="19.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</row>
    <row r="324" ht="19.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</row>
    <row r="325" ht="19.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</row>
    <row r="326" ht="19.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</row>
    <row r="327" ht="19.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</row>
    <row r="328" ht="19.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</row>
    <row r="329" ht="19.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</row>
    <row r="330" ht="19.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</row>
    <row r="331" ht="19.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</row>
    <row r="332" ht="19.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</row>
    <row r="333" ht="19.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</row>
    <row r="334" ht="19.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</row>
    <row r="335" ht="19.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</row>
    <row r="336" ht="19.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</row>
    <row r="337" ht="19.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</row>
    <row r="338" ht="19.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</row>
    <row r="339" ht="19.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</row>
    <row r="340" ht="19.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</row>
    <row r="341" ht="19.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</row>
    <row r="342" ht="19.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</row>
    <row r="343" ht="19.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</row>
    <row r="344" ht="19.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</row>
    <row r="345" ht="19.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</row>
    <row r="346" ht="19.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</row>
    <row r="347" ht="19.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</row>
    <row r="348" ht="19.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</row>
    <row r="349" ht="19.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</row>
    <row r="350" ht="19.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</row>
    <row r="351" ht="19.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</row>
    <row r="352" ht="19.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</row>
    <row r="353" ht="19.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</row>
    <row r="354" ht="19.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</row>
    <row r="355" ht="19.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</row>
    <row r="356" ht="19.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</row>
    <row r="357" ht="19.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</row>
    <row r="358" ht="19.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</row>
    <row r="359" ht="19.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</row>
    <row r="360" ht="19.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</row>
    <row r="361" ht="19.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</row>
    <row r="362" ht="19.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</row>
    <row r="363" ht="19.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</row>
    <row r="364" ht="19.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</row>
    <row r="365" ht="19.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</row>
    <row r="366" ht="19.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</row>
    <row r="367" ht="19.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</row>
    <row r="368" ht="19.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</row>
    <row r="369" ht="19.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</row>
    <row r="370" ht="19.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</row>
    <row r="371" ht="19.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</row>
    <row r="372" ht="19.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</row>
    <row r="373" ht="19.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</row>
    <row r="374" ht="19.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</row>
    <row r="375" ht="19.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</row>
    <row r="376" ht="19.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</row>
    <row r="377" ht="19.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</row>
    <row r="378" ht="19.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</row>
    <row r="379" ht="19.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</row>
    <row r="380" ht="19.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</row>
    <row r="381" ht="19.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</row>
    <row r="382" ht="19.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</row>
    <row r="383" ht="19.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</row>
    <row r="384" ht="19.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</row>
    <row r="385" ht="19.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</row>
    <row r="386" ht="19.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</row>
    <row r="387" ht="19.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</row>
    <row r="388" ht="19.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</row>
    <row r="389" ht="19.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</row>
    <row r="390" ht="19.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</row>
    <row r="391" ht="19.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</row>
    <row r="392" ht="19.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</row>
    <row r="393" ht="19.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</row>
    <row r="394" ht="19.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</row>
    <row r="395" ht="19.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</row>
    <row r="396" ht="19.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</row>
    <row r="397" ht="19.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</row>
    <row r="398" ht="19.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</row>
    <row r="399" ht="19.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</row>
    <row r="400" ht="19.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</row>
    <row r="401" ht="19.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</row>
    <row r="402" ht="19.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</row>
    <row r="403" ht="19.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</row>
    <row r="404" ht="19.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</row>
    <row r="405" ht="19.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</row>
    <row r="406" ht="19.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</row>
    <row r="407" ht="19.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</row>
    <row r="408" ht="19.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</row>
    <row r="409" ht="19.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</row>
    <row r="410" ht="19.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</row>
    <row r="411" ht="19.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</row>
    <row r="412" ht="19.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</row>
    <row r="413" ht="19.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</row>
    <row r="414" ht="19.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</row>
    <row r="415" ht="19.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</row>
    <row r="416" ht="19.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</row>
    <row r="417" ht="19.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</row>
    <row r="418" ht="19.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</row>
    <row r="419" ht="19.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</row>
    <row r="420" ht="19.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</row>
    <row r="421" ht="19.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</row>
    <row r="422" ht="19.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</row>
    <row r="423" ht="19.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</row>
    <row r="424" ht="19.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</row>
    <row r="425" ht="19.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</row>
    <row r="426" ht="19.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</row>
    <row r="427" ht="19.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</row>
    <row r="428" ht="19.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</row>
    <row r="429" ht="19.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</row>
    <row r="430" ht="19.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</row>
    <row r="431" ht="19.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</row>
    <row r="432" ht="19.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</row>
    <row r="433" ht="19.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</row>
    <row r="434" ht="19.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</row>
    <row r="435" ht="19.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</row>
    <row r="436" ht="19.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</row>
    <row r="437" ht="19.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</row>
    <row r="438" ht="19.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</row>
    <row r="439" ht="19.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</row>
    <row r="440" ht="19.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</row>
    <row r="441" ht="19.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</row>
    <row r="442" ht="19.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</row>
    <row r="443" ht="19.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</row>
    <row r="444" ht="19.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</row>
    <row r="445" ht="19.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</row>
    <row r="446" ht="19.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</row>
    <row r="447" ht="19.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</row>
    <row r="448" ht="19.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</row>
    <row r="449" ht="19.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</row>
    <row r="450" ht="19.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</row>
    <row r="451" ht="19.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</row>
    <row r="452" ht="19.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</row>
    <row r="453" ht="19.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</row>
    <row r="454" ht="19.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</row>
    <row r="455" ht="19.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</row>
    <row r="456" ht="19.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</row>
    <row r="457" ht="19.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</row>
    <row r="458" ht="19.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</row>
    <row r="459" ht="19.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</row>
    <row r="460" ht="19.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</row>
    <row r="461" ht="19.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</row>
    <row r="462" ht="19.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</row>
    <row r="463" ht="19.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</row>
    <row r="464" ht="19.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</row>
    <row r="465" ht="19.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</row>
    <row r="466" ht="19.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</row>
    <row r="467" ht="19.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</row>
    <row r="468" ht="19.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</row>
    <row r="469" ht="19.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</row>
    <row r="470" ht="19.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</row>
    <row r="471" ht="19.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</row>
    <row r="472" ht="19.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</row>
    <row r="473" ht="19.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</row>
    <row r="474" ht="19.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</row>
    <row r="475" ht="19.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</row>
    <row r="476" ht="19.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</row>
    <row r="477" ht="19.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</row>
    <row r="478" ht="19.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</row>
    <row r="479" ht="19.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</row>
    <row r="480" ht="19.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</row>
    <row r="481" ht="19.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</row>
    <row r="482" ht="19.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</row>
    <row r="483" ht="19.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</row>
    <row r="484" ht="19.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</row>
    <row r="485" ht="19.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</row>
    <row r="486" ht="19.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</row>
    <row r="487" ht="19.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</row>
    <row r="488" ht="19.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</row>
    <row r="489" ht="19.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</row>
    <row r="490" ht="19.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</row>
    <row r="491" ht="19.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</row>
    <row r="492" ht="19.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</row>
    <row r="493" ht="19.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</row>
    <row r="494" ht="19.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</row>
    <row r="495" ht="19.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</row>
    <row r="496" ht="19.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</row>
    <row r="497" ht="19.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</row>
    <row r="498" ht="19.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</row>
    <row r="499" ht="19.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</row>
    <row r="500" ht="19.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</row>
    <row r="501" ht="19.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</row>
    <row r="502" ht="19.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</row>
    <row r="503" ht="19.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</row>
    <row r="504" ht="19.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</row>
    <row r="505" ht="19.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</row>
    <row r="506" ht="19.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</row>
    <row r="507" ht="19.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</row>
    <row r="508" ht="19.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</row>
    <row r="509" ht="19.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</row>
    <row r="510" ht="19.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</row>
    <row r="511" ht="19.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</row>
    <row r="512" ht="19.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</row>
    <row r="513" ht="19.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</row>
    <row r="514" ht="19.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</row>
    <row r="515" ht="19.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</row>
    <row r="516" ht="19.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</row>
    <row r="517" ht="19.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</row>
    <row r="518" ht="19.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</row>
    <row r="519" ht="19.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</row>
    <row r="520" ht="19.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</row>
    <row r="521" ht="19.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</row>
    <row r="522" ht="19.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</row>
    <row r="523" ht="19.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</row>
    <row r="524" ht="19.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</row>
    <row r="525" ht="19.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</row>
    <row r="526" ht="19.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</row>
    <row r="527" ht="19.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</row>
    <row r="528" ht="19.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</row>
    <row r="529" ht="19.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</row>
    <row r="530" ht="19.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</row>
    <row r="531" ht="19.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</row>
    <row r="532" ht="19.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</row>
    <row r="533" ht="19.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</row>
    <row r="534" ht="19.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</row>
    <row r="535" ht="19.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</row>
    <row r="536" ht="19.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</row>
    <row r="537" ht="19.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</row>
    <row r="538" ht="19.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</row>
    <row r="539" ht="19.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</row>
    <row r="540" ht="19.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</row>
    <row r="541" ht="19.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</row>
    <row r="542" ht="19.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</row>
    <row r="543" ht="19.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</row>
    <row r="544" ht="19.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</row>
    <row r="545" ht="19.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</row>
    <row r="546" ht="19.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</row>
    <row r="547" ht="19.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</row>
    <row r="548" ht="19.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</row>
    <row r="549" ht="19.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</row>
    <row r="550" ht="19.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</row>
    <row r="551" ht="19.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</row>
    <row r="552" ht="19.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</row>
    <row r="553" ht="19.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</row>
    <row r="554" ht="19.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</row>
    <row r="555" ht="19.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</row>
    <row r="556" ht="19.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</row>
    <row r="557" ht="19.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</row>
    <row r="558" ht="19.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</row>
    <row r="559" ht="19.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</row>
    <row r="560" ht="19.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</row>
    <row r="561" ht="19.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</row>
    <row r="562" ht="19.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</row>
    <row r="563" ht="19.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</row>
    <row r="564" ht="19.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</row>
    <row r="565" ht="19.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</row>
    <row r="566" ht="19.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</row>
    <row r="567" ht="19.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</row>
    <row r="568" ht="19.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</row>
    <row r="569" ht="19.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</row>
    <row r="570" ht="19.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</row>
    <row r="571" ht="19.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</row>
    <row r="572" ht="19.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</row>
    <row r="573" ht="19.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</row>
    <row r="574" ht="19.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</row>
    <row r="575" ht="19.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</row>
    <row r="576" ht="19.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</row>
    <row r="577" ht="19.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</row>
    <row r="578" ht="19.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</row>
    <row r="579" ht="19.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</row>
    <row r="580" ht="19.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</row>
    <row r="581" ht="19.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</row>
    <row r="582" ht="19.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</row>
    <row r="583" ht="19.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</row>
    <row r="584" ht="19.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</row>
    <row r="585" ht="19.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</row>
    <row r="586" ht="19.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</row>
    <row r="587" ht="19.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</row>
    <row r="588" ht="19.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</row>
    <row r="589" ht="19.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</row>
    <row r="590" ht="19.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</row>
    <row r="591" ht="19.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</row>
    <row r="592" ht="19.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</row>
    <row r="593" ht="19.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</row>
    <row r="594" ht="19.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</row>
    <row r="595" ht="19.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</row>
    <row r="596" ht="19.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</row>
    <row r="597" ht="19.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</row>
    <row r="598" ht="19.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</row>
    <row r="599" ht="19.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</row>
    <row r="600" ht="19.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</row>
    <row r="601" ht="19.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</row>
    <row r="602" ht="19.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</row>
    <row r="603" ht="19.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</row>
    <row r="604" ht="19.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</row>
    <row r="605" ht="19.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</row>
    <row r="606" ht="19.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</row>
    <row r="607" ht="19.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</row>
    <row r="608" ht="19.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</row>
    <row r="609" ht="19.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</row>
    <row r="610" ht="19.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</row>
    <row r="611" ht="19.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</row>
    <row r="612" ht="19.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</row>
    <row r="613" ht="19.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</row>
    <row r="614" ht="19.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</row>
    <row r="615" ht="19.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</row>
    <row r="616" ht="19.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</row>
    <row r="617" ht="19.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</row>
    <row r="618" ht="19.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</row>
    <row r="619" ht="19.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</row>
    <row r="620" ht="19.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</row>
    <row r="621" ht="19.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</row>
    <row r="622" ht="19.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</row>
    <row r="623" ht="19.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</row>
    <row r="624" ht="19.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</row>
    <row r="625" ht="19.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</row>
    <row r="626" ht="19.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</row>
    <row r="627" ht="19.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</row>
    <row r="628" ht="19.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</row>
    <row r="629" ht="19.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</row>
    <row r="630" ht="19.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</row>
    <row r="631" ht="19.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</row>
    <row r="632" ht="19.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</row>
    <row r="633" ht="19.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</row>
    <row r="634" ht="19.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</row>
    <row r="635" ht="19.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</row>
    <row r="636" ht="19.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</row>
    <row r="637" ht="19.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</row>
    <row r="638" ht="19.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</row>
    <row r="639" ht="19.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</row>
    <row r="640" ht="19.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</row>
    <row r="641" ht="19.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</row>
    <row r="642" ht="19.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</row>
    <row r="643" ht="19.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</row>
    <row r="644" ht="19.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</row>
    <row r="645" ht="19.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</row>
    <row r="646" ht="19.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</row>
    <row r="647" ht="19.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</row>
    <row r="648" ht="19.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</row>
    <row r="649" ht="19.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</row>
    <row r="650" ht="19.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</row>
    <row r="651" ht="19.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</row>
    <row r="652" ht="19.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</row>
    <row r="653" ht="19.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</row>
    <row r="654" ht="19.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</row>
    <row r="655" ht="19.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</row>
    <row r="656" ht="19.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</row>
    <row r="657" ht="19.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</row>
    <row r="658" ht="19.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</row>
    <row r="659" ht="19.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</row>
    <row r="660" ht="19.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</row>
    <row r="661" ht="19.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</row>
    <row r="662" ht="19.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</row>
    <row r="663" ht="19.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</row>
    <row r="664" ht="19.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</row>
    <row r="665" ht="19.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</row>
    <row r="666" ht="19.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</row>
    <row r="667" ht="19.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</row>
    <row r="668" ht="19.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</row>
    <row r="669" ht="19.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</row>
    <row r="670" ht="19.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</row>
    <row r="671" ht="19.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</row>
    <row r="672" ht="19.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</row>
    <row r="673" ht="19.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</row>
    <row r="674" ht="19.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</row>
    <row r="675" ht="19.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</row>
    <row r="676" ht="19.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</row>
    <row r="677" ht="19.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</row>
    <row r="678" ht="19.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</row>
    <row r="679" ht="19.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</row>
    <row r="680" ht="19.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</row>
    <row r="681" ht="19.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</row>
    <row r="682" ht="19.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</row>
    <row r="683" ht="19.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</row>
    <row r="684" ht="19.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</row>
    <row r="685" ht="19.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</row>
    <row r="686" ht="19.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</row>
    <row r="687" ht="19.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</row>
    <row r="688" ht="19.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</row>
    <row r="689" ht="19.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</row>
    <row r="690" ht="19.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</row>
    <row r="691" ht="19.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</row>
    <row r="692" ht="19.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</row>
    <row r="693" ht="19.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</row>
    <row r="694" ht="19.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</row>
    <row r="695" ht="19.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</row>
    <row r="696" ht="19.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</row>
    <row r="697" ht="19.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</row>
    <row r="698" ht="19.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</row>
    <row r="699" ht="19.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</row>
    <row r="700" ht="19.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</row>
    <row r="701" ht="19.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</row>
    <row r="702" ht="19.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</row>
    <row r="703" ht="19.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</row>
    <row r="704" ht="19.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</row>
    <row r="705" ht="19.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</row>
    <row r="706" ht="19.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</row>
    <row r="707" ht="19.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</row>
    <row r="708" ht="19.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</row>
    <row r="709" ht="19.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</row>
    <row r="710" ht="19.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</row>
    <row r="711" ht="19.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</row>
    <row r="712" ht="19.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</row>
    <row r="713" ht="19.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</row>
    <row r="714" ht="19.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</row>
    <row r="715" ht="19.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</row>
    <row r="716" ht="19.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</row>
    <row r="717" ht="19.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</row>
    <row r="718" ht="19.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</row>
    <row r="719" ht="19.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</row>
    <row r="720" ht="19.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</row>
    <row r="721" ht="19.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</row>
    <row r="722" ht="19.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</row>
    <row r="723" ht="19.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</row>
    <row r="724" ht="19.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</row>
    <row r="725" ht="19.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</row>
    <row r="726" ht="19.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</row>
    <row r="727" ht="19.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</row>
    <row r="728" ht="19.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</row>
    <row r="729" ht="19.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</row>
    <row r="730" ht="19.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</row>
    <row r="731" ht="19.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</row>
    <row r="732" ht="19.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</row>
    <row r="733" ht="19.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</row>
    <row r="734" ht="19.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</row>
    <row r="735" ht="19.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</row>
    <row r="736" ht="19.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</row>
    <row r="737" ht="19.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</row>
    <row r="738" ht="19.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</row>
    <row r="739" ht="19.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</row>
    <row r="740" ht="19.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</row>
    <row r="741" ht="19.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</row>
    <row r="742" ht="19.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</row>
    <row r="743" ht="19.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</row>
    <row r="744" ht="19.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</row>
    <row r="745" ht="19.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</row>
    <row r="746" ht="19.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</row>
    <row r="747" ht="19.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</row>
    <row r="748" ht="19.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</row>
    <row r="749" ht="19.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</row>
    <row r="750" ht="19.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</row>
    <row r="751" ht="19.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</row>
    <row r="752" ht="19.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</row>
    <row r="753" ht="19.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</row>
    <row r="754" ht="19.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</row>
    <row r="755" ht="19.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</row>
    <row r="756" ht="19.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</row>
    <row r="757" ht="19.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</row>
    <row r="758" ht="19.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</row>
    <row r="759" ht="19.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</row>
    <row r="760" ht="19.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</row>
    <row r="761" ht="19.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</row>
    <row r="762" ht="19.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</row>
    <row r="763" ht="19.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</row>
    <row r="764" ht="19.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</row>
    <row r="765" ht="19.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</row>
    <row r="766" ht="19.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</row>
    <row r="767" ht="19.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</row>
    <row r="768" ht="19.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</row>
    <row r="769" ht="19.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</row>
    <row r="770" ht="19.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</row>
    <row r="771" ht="19.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</row>
    <row r="772" ht="19.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</row>
    <row r="773" ht="19.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</row>
    <row r="774" ht="19.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</row>
    <row r="775" ht="19.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</row>
    <row r="776" ht="19.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</row>
    <row r="777" ht="19.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</row>
    <row r="778" ht="19.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</row>
    <row r="779" ht="19.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</row>
    <row r="780" ht="19.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</row>
    <row r="781" ht="19.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</row>
    <row r="782" ht="19.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</row>
    <row r="783" ht="19.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</row>
    <row r="784" ht="19.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</row>
    <row r="785" ht="19.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</row>
    <row r="786" ht="19.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</row>
    <row r="787" ht="19.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</row>
    <row r="788" ht="19.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</row>
    <row r="789" ht="19.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</row>
    <row r="790" ht="19.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</row>
    <row r="791" ht="19.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</row>
    <row r="792" ht="19.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</row>
    <row r="793" ht="19.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</row>
    <row r="794" ht="19.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</row>
    <row r="795" ht="19.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</row>
    <row r="796" ht="19.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</row>
    <row r="797" ht="19.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</row>
    <row r="798" ht="19.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</row>
    <row r="799" ht="19.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</row>
    <row r="800" ht="19.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</row>
    <row r="801" ht="19.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</row>
    <row r="802" ht="19.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</row>
    <row r="803" ht="19.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</row>
    <row r="804" ht="19.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</row>
    <row r="805" ht="19.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</row>
    <row r="806" ht="19.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</row>
    <row r="807" ht="19.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</row>
    <row r="808" ht="19.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</row>
    <row r="809" ht="19.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</row>
    <row r="810" ht="19.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</row>
    <row r="811" ht="19.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</row>
    <row r="812" ht="19.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</row>
    <row r="813" ht="19.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</row>
    <row r="814" ht="19.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</row>
    <row r="815" ht="19.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</row>
    <row r="816" ht="19.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</row>
    <row r="817" ht="19.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</row>
    <row r="818" ht="19.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</row>
    <row r="819" ht="19.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</row>
    <row r="820" ht="19.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</row>
    <row r="821" ht="19.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</row>
    <row r="822" ht="19.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</row>
    <row r="823" ht="19.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</row>
    <row r="824" ht="19.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</row>
    <row r="825" ht="19.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</row>
    <row r="826" ht="19.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</row>
    <row r="827" ht="19.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</row>
    <row r="828" ht="19.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</row>
    <row r="829" ht="19.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</row>
    <row r="830" ht="19.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</row>
    <row r="831" ht="19.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</row>
    <row r="832" ht="19.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</row>
    <row r="833" ht="19.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</row>
    <row r="834" ht="19.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</row>
    <row r="835" ht="19.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</row>
    <row r="836" ht="19.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</row>
    <row r="837" ht="19.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</row>
    <row r="838" ht="19.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</row>
    <row r="839" ht="19.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</row>
    <row r="840" ht="19.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</row>
    <row r="841" ht="19.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</row>
    <row r="842" ht="19.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</row>
    <row r="843" ht="19.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</row>
    <row r="844" ht="19.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</row>
    <row r="845" ht="19.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</row>
    <row r="846" ht="19.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</row>
    <row r="847" ht="19.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</row>
    <row r="848" ht="19.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</row>
    <row r="849" ht="19.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</row>
    <row r="850" ht="19.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</row>
    <row r="851" ht="19.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</row>
    <row r="852" ht="19.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</row>
    <row r="853" ht="19.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</row>
    <row r="854" ht="19.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</row>
    <row r="855" ht="19.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</row>
    <row r="856" ht="19.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</row>
    <row r="857" ht="19.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</row>
    <row r="858" ht="19.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</row>
    <row r="859" ht="19.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</row>
    <row r="860" ht="19.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</row>
    <row r="861" ht="19.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</row>
    <row r="862" ht="19.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</row>
    <row r="863" ht="19.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</row>
    <row r="864" ht="19.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</row>
    <row r="865" ht="19.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</row>
    <row r="866" ht="19.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</row>
    <row r="867" ht="19.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</row>
    <row r="868" ht="19.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</row>
    <row r="869" ht="19.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</row>
    <row r="870" ht="19.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</row>
    <row r="871" ht="19.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</row>
    <row r="872" ht="19.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</row>
    <row r="873" ht="19.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</row>
    <row r="874" ht="19.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</row>
    <row r="875" ht="19.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</row>
    <row r="876" ht="19.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</row>
    <row r="877" ht="19.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</row>
    <row r="878" ht="19.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</row>
    <row r="879" ht="19.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</row>
    <row r="880" ht="19.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</row>
    <row r="881" ht="19.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</row>
    <row r="882" ht="19.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</row>
    <row r="883" ht="19.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</row>
    <row r="884" ht="19.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</row>
    <row r="885" ht="19.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</row>
    <row r="886" ht="19.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</row>
    <row r="887" ht="19.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</row>
    <row r="888" ht="19.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</row>
    <row r="889" ht="19.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</row>
    <row r="890" ht="19.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</row>
    <row r="891" ht="19.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</row>
    <row r="892" ht="19.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</row>
    <row r="893" ht="19.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</row>
    <row r="894" ht="19.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</row>
    <row r="895" ht="19.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</row>
    <row r="896" ht="19.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</row>
    <row r="897" ht="19.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</row>
    <row r="898" ht="19.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</row>
    <row r="899" ht="19.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</row>
    <row r="900" ht="19.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</row>
    <row r="901" ht="19.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</row>
    <row r="902" ht="19.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</row>
    <row r="903" ht="19.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</row>
    <row r="904" ht="19.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</row>
    <row r="905" ht="19.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</row>
    <row r="906" ht="19.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</row>
    <row r="907" ht="19.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</row>
    <row r="908" ht="19.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</row>
    <row r="909" ht="19.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</row>
    <row r="910" ht="19.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</row>
    <row r="911" ht="19.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</row>
    <row r="912" ht="19.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</row>
    <row r="913" ht="19.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</row>
    <row r="914" ht="19.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</row>
    <row r="915" ht="19.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</row>
    <row r="916" ht="19.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</row>
    <row r="917" ht="19.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</row>
    <row r="918" ht="19.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</row>
    <row r="919" ht="19.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</row>
    <row r="920" ht="19.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</row>
    <row r="921" ht="19.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</row>
    <row r="922" ht="19.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</row>
    <row r="923" ht="19.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</row>
    <row r="924" ht="19.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</row>
    <row r="925" ht="19.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</row>
    <row r="926" ht="19.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</row>
    <row r="927" ht="19.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</row>
    <row r="928" ht="19.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</row>
    <row r="929" ht="19.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</row>
    <row r="930" ht="19.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</row>
    <row r="931" ht="19.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</row>
    <row r="932" ht="19.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</row>
    <row r="933" ht="19.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</row>
    <row r="934" ht="19.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</row>
    <row r="935" ht="19.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</row>
    <row r="936" ht="19.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</row>
    <row r="937" ht="19.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</row>
    <row r="938" ht="19.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</row>
    <row r="939" ht="19.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</row>
    <row r="940" ht="19.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</row>
    <row r="941" ht="19.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</row>
    <row r="942" ht="19.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</row>
    <row r="943" ht="19.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</row>
    <row r="944" ht="19.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</row>
    <row r="945" ht="19.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</row>
    <row r="946" ht="19.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</row>
    <row r="947" ht="19.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</row>
    <row r="948" ht="19.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</row>
    <row r="949" ht="19.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</row>
    <row r="950" ht="19.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</row>
    <row r="951" ht="19.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</row>
    <row r="952" ht="19.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</row>
    <row r="953" ht="19.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</row>
    <row r="954" ht="19.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</row>
    <row r="955" ht="19.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</row>
    <row r="956" ht="19.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</row>
    <row r="957" ht="19.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</row>
    <row r="958" ht="19.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</row>
    <row r="959" ht="19.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</row>
    <row r="960" ht="19.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</row>
    <row r="961" ht="19.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</row>
    <row r="962" ht="19.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</row>
    <row r="963" ht="19.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</row>
    <row r="964" ht="19.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</row>
    <row r="965" ht="19.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</row>
    <row r="966" ht="19.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</row>
    <row r="967" ht="19.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</row>
    <row r="968" ht="19.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</row>
    <row r="969" ht="19.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</row>
    <row r="970" ht="19.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</row>
    <row r="971" ht="19.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</row>
    <row r="972" ht="19.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</row>
    <row r="973" ht="19.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</row>
    <row r="974" ht="19.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</row>
    <row r="975" ht="19.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</row>
    <row r="976" ht="19.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</row>
    <row r="977" ht="19.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</row>
    <row r="978" ht="19.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</row>
    <row r="979" ht="19.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</row>
    <row r="980" ht="19.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</row>
    <row r="981" ht="19.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</row>
    <row r="982" ht="19.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</row>
    <row r="983" ht="19.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</row>
    <row r="984" ht="19.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</row>
    <row r="985" ht="19.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</row>
    <row r="986" ht="19.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</row>
    <row r="987" ht="19.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</row>
    <row r="988" ht="19.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</row>
    <row r="989" ht="19.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</row>
    <row r="990" ht="19.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</row>
    <row r="991" ht="19.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</row>
    <row r="992" ht="19.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</row>
    <row r="993" ht="19.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</row>
    <row r="994" ht="19.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</row>
    <row r="995" ht="19.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</row>
    <row r="996" ht="19.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</row>
    <row r="997" ht="19.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</row>
    <row r="998" ht="19.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</row>
    <row r="999" ht="19.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</row>
    <row r="1000" ht="19.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</row>
  </sheetData>
  <mergeCells count="1">
    <mergeCell ref="A1:I1"/>
  </mergeCells>
  <conditionalFormatting sqref="B3:I3 B5:I5 B14:I14">
    <cfRule type="cellIs" dxfId="0" priority="1" stopIfTrue="1" operator="equal">
      <formula>"boa"</formula>
    </cfRule>
  </conditionalFormatting>
  <conditionalFormatting sqref="B3:I3 B5:I5 B14:I14">
    <cfRule type="cellIs" dxfId="1" priority="2" stopIfTrue="1" operator="equal">
      <formula>"media"</formula>
    </cfRule>
  </conditionalFormatting>
  <conditionalFormatting sqref="B3:I3 B5:I5 B14:I14">
    <cfRule type="cellIs" dxfId="2" priority="3" stopIfTrue="1" operator="equal">
      <formula>"ruim"</formula>
    </cfRule>
  </conditionalFormatting>
  <conditionalFormatting sqref="B4:I4 B13:I13">
    <cfRule type="cellIs" dxfId="0" priority="4" stopIfTrue="1" operator="equal">
      <formula>"bom"</formula>
    </cfRule>
  </conditionalFormatting>
  <conditionalFormatting sqref="B4:I4 B13:I13">
    <cfRule type="cellIs" dxfId="1" priority="5" stopIfTrue="1" operator="equal">
      <formula>"medio"</formula>
    </cfRule>
  </conditionalFormatting>
  <conditionalFormatting sqref="B4:I4 B13:I13">
    <cfRule type="cellIs" dxfId="2" priority="6" stopIfTrue="1" operator="equal">
      <formula>"ruim"</formula>
    </cfRule>
  </conditionalFormatting>
  <conditionalFormatting sqref="B6:I8 B12:I12">
    <cfRule type="cellIs" dxfId="2" priority="7" stopIfTrue="1" operator="equal">
      <formula>"sim"</formula>
    </cfRule>
  </conditionalFormatting>
  <conditionalFormatting sqref="B6:I8 B12:I12">
    <cfRule type="cellIs" dxfId="0" priority="8" stopIfTrue="1" operator="equal">
      <formula>"não"</formula>
    </cfRule>
  </conditionalFormatting>
  <conditionalFormatting sqref="B9:I9">
    <cfRule type="cellIs" dxfId="0" priority="9" stopIfTrue="1" operator="equal">
      <formula>"Posso um pouco mais"</formula>
    </cfRule>
  </conditionalFormatting>
  <conditionalFormatting sqref="B9:I9">
    <cfRule type="cellIs" dxfId="1" priority="10" stopIfTrue="1" operator="equal">
      <formula>"tempo justo"</formula>
    </cfRule>
  </conditionalFormatting>
  <conditionalFormatting sqref="B9:I9">
    <cfRule type="cellIs" dxfId="2" priority="11" stopIfTrue="1" operator="equal">
      <formula>"Demorando mais que posso"</formula>
    </cfRule>
  </conditionalFormatting>
  <conditionalFormatting sqref="B10:I11 B15:I15">
    <cfRule type="cellIs" dxfId="0" priority="12" stopIfTrue="1" operator="equal">
      <formula>"sim"</formula>
    </cfRule>
  </conditionalFormatting>
  <conditionalFormatting sqref="B10:I11 B15:I15">
    <cfRule type="cellIs" dxfId="2" priority="13" stopIfTrue="1" operator="equal">
      <formula>"não"</formula>
    </cfRule>
  </conditionalFormatting>
  <dataValidations>
    <dataValidation type="list" allowBlank="1" showErrorMessage="1" sqref="B4:I4 B13:I13">
      <formula1>"Bom,Medio,Ruim"</formula1>
    </dataValidation>
    <dataValidation type="list" allowBlank="1" showErrorMessage="1" sqref="B6:I8 B10:I12 B15:I15">
      <formula1>"Sim,Não"</formula1>
    </dataValidation>
    <dataValidation type="list" allowBlank="1" showErrorMessage="1" sqref="B9:I9">
      <formula1>"Posso um pouco mais,Tempo justo,Demorando mais que posso"</formula1>
    </dataValidation>
    <dataValidation type="list" allowBlank="1" showErrorMessage="1" sqref="B3:I3 B5:I5 B14:I14">
      <formula1>"Boa,Media,Ruim"</formula1>
    </dataValidation>
  </dataValidations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6" width="16.29"/>
  </cols>
  <sheetData>
    <row r="1" ht="28.5" customHeight="1">
      <c r="A1" s="6" t="s">
        <v>12</v>
      </c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20.25" customHeight="1">
      <c r="A2" s="76"/>
      <c r="B2" s="77"/>
      <c r="C2" s="77"/>
      <c r="D2" s="77"/>
      <c r="E2" s="77"/>
      <c r="F2" s="78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ht="8.25" customHeight="1">
      <c r="A3" s="79" t="s">
        <v>27</v>
      </c>
      <c r="B3" s="80"/>
      <c r="C3" s="81"/>
      <c r="D3" s="81"/>
      <c r="E3" s="81"/>
      <c r="F3" s="82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ht="7.5" customHeight="1">
      <c r="A4" s="83"/>
      <c r="B4" s="84"/>
      <c r="F4" s="85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ht="7.5" customHeight="1">
      <c r="A5" s="83"/>
      <c r="B5" s="84"/>
      <c r="F5" s="85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ht="7.5" customHeight="1">
      <c r="A6" s="83"/>
      <c r="B6" s="84"/>
      <c r="F6" s="85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ht="7.5" customHeight="1">
      <c r="A7" s="83"/>
      <c r="B7" s="84"/>
      <c r="F7" s="85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ht="7.5" customHeight="1">
      <c r="A8" s="83"/>
      <c r="B8" s="84"/>
      <c r="F8" s="85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ht="7.5" customHeight="1">
      <c r="A9" s="83"/>
      <c r="B9" s="84"/>
      <c r="F9" s="85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ht="7.5" customHeight="1">
      <c r="A10" s="83"/>
      <c r="B10" s="84"/>
      <c r="F10" s="85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ht="7.5" customHeight="1">
      <c r="A11" s="83"/>
      <c r="B11" s="84"/>
      <c r="F11" s="85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ht="8.25" customHeight="1">
      <c r="A12" s="86"/>
      <c r="B12" s="87"/>
      <c r="C12" s="88"/>
      <c r="D12" s="88"/>
      <c r="E12" s="88"/>
      <c r="F12" s="89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ht="8.25" customHeight="1">
      <c r="A13" s="90" t="s">
        <v>28</v>
      </c>
      <c r="B13" s="91"/>
      <c r="C13" s="92"/>
      <c r="D13" s="92"/>
      <c r="E13" s="92"/>
      <c r="F13" s="9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 ht="7.5" customHeight="1">
      <c r="A14" s="83"/>
      <c r="B14" s="84"/>
      <c r="F14" s="85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 ht="7.5" customHeight="1">
      <c r="A15" s="83"/>
      <c r="B15" s="84"/>
      <c r="F15" s="85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 ht="7.5" customHeight="1">
      <c r="A16" s="83"/>
      <c r="B16" s="84"/>
      <c r="F16" s="85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 ht="7.5" customHeight="1">
      <c r="A17" s="83"/>
      <c r="B17" s="84"/>
      <c r="F17" s="85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 ht="7.5" customHeight="1">
      <c r="A18" s="83"/>
      <c r="B18" s="84"/>
      <c r="F18" s="85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 ht="7.5" customHeight="1">
      <c r="A19" s="83"/>
      <c r="B19" s="84"/>
      <c r="F19" s="85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 ht="7.5" customHeight="1">
      <c r="A20" s="83"/>
      <c r="B20" s="84"/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 ht="7.5" customHeight="1">
      <c r="A21" s="83"/>
      <c r="B21" s="84"/>
      <c r="F21" s="85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 ht="8.25" customHeight="1">
      <c r="A22" s="86"/>
      <c r="B22" s="87"/>
      <c r="C22" s="88"/>
      <c r="D22" s="88"/>
      <c r="E22" s="88"/>
      <c r="F22" s="89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 ht="8.25" customHeight="1">
      <c r="A23" s="90" t="s">
        <v>29</v>
      </c>
      <c r="B23" s="91"/>
      <c r="C23" s="92"/>
      <c r="D23" s="92"/>
      <c r="E23" s="92"/>
      <c r="F23" s="9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ht="7.5" customHeight="1">
      <c r="A24" s="83"/>
      <c r="B24" s="84"/>
      <c r="F24" s="85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 ht="7.5" customHeight="1">
      <c r="A25" s="83"/>
      <c r="B25" s="84"/>
      <c r="F25" s="85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 ht="7.5" customHeight="1">
      <c r="A26" s="83"/>
      <c r="B26" s="84"/>
      <c r="F26" s="85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 ht="7.5" customHeight="1">
      <c r="A27" s="83"/>
      <c r="B27" s="84"/>
      <c r="F27" s="85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 ht="7.5" customHeight="1">
      <c r="A28" s="83"/>
      <c r="B28" s="84"/>
      <c r="F28" s="85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 ht="7.5" customHeight="1">
      <c r="A29" s="83"/>
      <c r="B29" s="84"/>
      <c r="F29" s="85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 ht="7.5" customHeight="1">
      <c r="A30" s="83"/>
      <c r="B30" s="84"/>
      <c r="F30" s="85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 ht="7.5" customHeight="1">
      <c r="A31" s="83"/>
      <c r="B31" s="84"/>
      <c r="F31" s="85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ht="8.25" customHeight="1">
      <c r="A32" s="86"/>
      <c r="B32" s="87"/>
      <c r="C32" s="88"/>
      <c r="D32" s="88"/>
      <c r="E32" s="88"/>
      <c r="F32" s="89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ht="8.25" customHeight="1">
      <c r="A33" s="90" t="s">
        <v>30</v>
      </c>
      <c r="B33" s="91"/>
      <c r="C33" s="92"/>
      <c r="D33" s="92"/>
      <c r="E33" s="92"/>
      <c r="F33" s="9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ht="7.5" customHeight="1">
      <c r="A34" s="83"/>
      <c r="B34" s="84"/>
      <c r="F34" s="85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7.5" customHeight="1">
      <c r="A35" s="83"/>
      <c r="B35" s="84"/>
      <c r="F35" s="85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7.5" customHeight="1">
      <c r="A36" s="83"/>
      <c r="B36" s="84"/>
      <c r="F36" s="85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ht="7.5" customHeight="1">
      <c r="A37" s="83"/>
      <c r="B37" s="84"/>
      <c r="F37" s="85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ht="7.5" customHeight="1">
      <c r="A38" s="83"/>
      <c r="B38" s="84"/>
      <c r="F38" s="85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ht="7.5" customHeight="1">
      <c r="A39" s="83"/>
      <c r="B39" s="84"/>
      <c r="F39" s="85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ht="7.5" customHeight="1">
      <c r="A40" s="83"/>
      <c r="B40" s="84"/>
      <c r="F40" s="85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ht="7.5" customHeight="1">
      <c r="A41" s="83"/>
      <c r="B41" s="84"/>
      <c r="F41" s="85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ht="8.25" customHeight="1">
      <c r="A42" s="86"/>
      <c r="B42" s="87"/>
      <c r="C42" s="88"/>
      <c r="D42" s="88"/>
      <c r="E42" s="88"/>
      <c r="F42" s="89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ht="8.25" customHeight="1">
      <c r="A43" s="90" t="s">
        <v>31</v>
      </c>
      <c r="B43" s="94"/>
      <c r="C43" s="92"/>
      <c r="D43" s="92"/>
      <c r="E43" s="92"/>
      <c r="F43" s="9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ht="8.25" customHeight="1">
      <c r="A44" s="83"/>
      <c r="B44" s="84"/>
      <c r="F44" s="85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ht="8.25" customHeight="1">
      <c r="A45" s="83"/>
      <c r="B45" s="84"/>
      <c r="F45" s="85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ht="8.25" customHeight="1">
      <c r="A46" s="83"/>
      <c r="B46" s="84"/>
      <c r="F46" s="85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ht="8.25" customHeight="1">
      <c r="A47" s="83"/>
      <c r="B47" s="84"/>
      <c r="F47" s="85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ht="8.25" customHeight="1">
      <c r="A48" s="83"/>
      <c r="B48" s="84"/>
      <c r="F48" s="85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ht="8.25" customHeight="1">
      <c r="A49" s="83"/>
      <c r="B49" s="84"/>
      <c r="F49" s="85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ht="8.25" customHeight="1">
      <c r="A50" s="83"/>
      <c r="B50" s="84"/>
      <c r="F50" s="85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 ht="8.25" customHeight="1">
      <c r="A51" s="83"/>
      <c r="B51" s="84"/>
      <c r="F51" s="85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 ht="8.25" customHeight="1">
      <c r="A52" s="86"/>
      <c r="B52" s="87"/>
      <c r="C52" s="88"/>
      <c r="D52" s="88"/>
      <c r="E52" s="88"/>
      <c r="F52" s="89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 ht="8.25" customHeight="1">
      <c r="A53" s="95" t="s">
        <v>32</v>
      </c>
      <c r="B53" s="94"/>
      <c r="C53" s="92"/>
      <c r="D53" s="92"/>
      <c r="E53" s="92"/>
      <c r="F53" s="9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 ht="8.25" customHeight="1">
      <c r="A54" s="83"/>
      <c r="B54" s="84"/>
      <c r="F54" s="85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 ht="8.25" customHeight="1">
      <c r="A55" s="83"/>
      <c r="B55" s="84"/>
      <c r="F55" s="85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ht="8.25" customHeight="1">
      <c r="A56" s="83"/>
      <c r="B56" s="84"/>
      <c r="F56" s="85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 ht="8.25" customHeight="1">
      <c r="A57" s="83"/>
      <c r="B57" s="84"/>
      <c r="F57" s="85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 ht="8.25" customHeight="1">
      <c r="A58" s="83"/>
      <c r="B58" s="84"/>
      <c r="F58" s="85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8.25" customHeight="1">
      <c r="A59" s="83"/>
      <c r="B59" s="84"/>
      <c r="F59" s="85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8.25" customHeight="1">
      <c r="A60" s="83"/>
      <c r="B60" s="84"/>
      <c r="F60" s="85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8.25" customHeight="1">
      <c r="A61" s="83"/>
      <c r="B61" s="84"/>
      <c r="F61" s="85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8.25" customHeight="1">
      <c r="A62" s="86"/>
      <c r="B62" s="87"/>
      <c r="C62" s="88"/>
      <c r="D62" s="88"/>
      <c r="E62" s="88"/>
      <c r="F62" s="89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8.25" customHeight="1">
      <c r="A63" s="95" t="s">
        <v>33</v>
      </c>
      <c r="B63" s="94"/>
      <c r="C63" s="92"/>
      <c r="D63" s="92"/>
      <c r="E63" s="92"/>
      <c r="F63" s="9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7.5" customHeight="1">
      <c r="A64" s="83"/>
      <c r="B64" s="84"/>
      <c r="F64" s="85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7.5" customHeight="1">
      <c r="A65" s="83"/>
      <c r="B65" s="84"/>
      <c r="F65" s="85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7.5" customHeight="1">
      <c r="A66" s="83"/>
      <c r="B66" s="84"/>
      <c r="F66" s="85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7.5" customHeight="1">
      <c r="A67" s="83"/>
      <c r="B67" s="84"/>
      <c r="F67" s="85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7.5" customHeight="1">
      <c r="A68" s="83"/>
      <c r="B68" s="84"/>
      <c r="F68" s="85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7.5" customHeight="1">
      <c r="A69" s="83"/>
      <c r="B69" s="84"/>
      <c r="F69" s="85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7.5" customHeight="1">
      <c r="A70" s="83"/>
      <c r="B70" s="84"/>
      <c r="F70" s="85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7.5" customHeight="1">
      <c r="A71" s="83"/>
      <c r="B71" s="84"/>
      <c r="F71" s="85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8.25" customHeight="1">
      <c r="A72" s="86"/>
      <c r="B72" s="87"/>
      <c r="C72" s="88"/>
      <c r="D72" s="88"/>
      <c r="E72" s="88"/>
      <c r="F72" s="89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8.25" customHeight="1">
      <c r="A73" s="90" t="s">
        <v>73</v>
      </c>
      <c r="B73" s="96"/>
      <c r="C73" s="92"/>
      <c r="D73" s="92"/>
      <c r="E73" s="92"/>
      <c r="F73" s="9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7.5" customHeight="1">
      <c r="A74" s="83"/>
      <c r="B74" s="84"/>
      <c r="F74" s="85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7.5" customHeight="1">
      <c r="A75" s="83"/>
      <c r="B75" s="84"/>
      <c r="F75" s="85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7.5" customHeight="1">
      <c r="A76" s="83"/>
      <c r="B76" s="84"/>
      <c r="F76" s="85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7.5" customHeight="1">
      <c r="A77" s="83"/>
      <c r="B77" s="84"/>
      <c r="F77" s="85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7.5" customHeight="1">
      <c r="A78" s="83"/>
      <c r="B78" s="84"/>
      <c r="F78" s="85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7.5" customHeight="1">
      <c r="A79" s="83"/>
      <c r="B79" s="84"/>
      <c r="F79" s="85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7.5" customHeight="1">
      <c r="A80" s="83"/>
      <c r="B80" s="84"/>
      <c r="F80" s="85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7.5" customHeight="1">
      <c r="A81" s="83"/>
      <c r="B81" s="84"/>
      <c r="F81" s="85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8.25" customHeight="1">
      <c r="A82" s="86"/>
      <c r="B82" s="87"/>
      <c r="C82" s="88"/>
      <c r="D82" s="88"/>
      <c r="E82" s="88"/>
      <c r="F82" s="89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9.5" customHeight="1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9.5" customHeight="1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9.5" customHeight="1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9.5" customHeight="1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9.5" customHeight="1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9.5" customHeight="1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9.5" customHeight="1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9.5" customHeight="1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9.5" customHeight="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9.5" customHeight="1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9.5" customHeight="1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9.5" customHeight="1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9.5" customHeight="1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9.5" customHeight="1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9.5" customHeight="1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9.5" customHeight="1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9.5" customHeight="1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9.5" customHeight="1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9.5" customHeight="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9.5" customHeight="1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9.5" customHeight="1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9.5" customHeight="1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9.5" customHeight="1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9.5" customHeight="1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9.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9.5" customHeight="1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9.5" customHeight="1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9.5" customHeight="1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9.5" customHeight="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9.5" customHeight="1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9.5" customHeight="1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9.5" customHeight="1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9.5" customHeight="1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9.5" customHeight="1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9.5" customHeight="1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9.5" customHeight="1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9.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9.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9.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9.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9.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9.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9.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9.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9.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9.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9.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9.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9.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9.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9.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9.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9.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9.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9.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9.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9.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9.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9.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9.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9.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9.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9.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9.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9.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9.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9.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9.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9.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9.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9.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9.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9.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9.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9.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9.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9.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9.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9.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9.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9.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9.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9.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9.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9.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9.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9.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9.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9.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9.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9.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9.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9.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9.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9.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9.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9.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9.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9.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9.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9.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9.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9.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9.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9.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9.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9.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9.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9.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9.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9.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9.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9.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9.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9.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9.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9.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9.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9.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9.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9.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9.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9.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9.5" customHeight="1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9.5" customHeight="1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9.5" customHeight="1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9.5" customHeight="1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9.5" customHeight="1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9.5" customHeight="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9.5" customHeight="1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9.5" customHeight="1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9.5" customHeight="1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9.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9.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9.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9.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9.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9.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9.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9.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9.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9.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9.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9.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9.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9.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9.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9.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9.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9.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9.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9.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9.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9.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9.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9.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9.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9.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9.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9.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9.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9.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9.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9.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9.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9.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9.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9.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9.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9.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9.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9.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9.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9.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9.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9.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 ht="19.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 ht="19.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 ht="19.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 ht="19.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 ht="19.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 ht="19.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 ht="19.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 ht="19.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 ht="19.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 ht="19.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 ht="19.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 ht="19.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 ht="19.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 ht="19.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 ht="19.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 ht="19.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 ht="19.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 ht="19.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 ht="19.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 ht="19.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 ht="19.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 ht="19.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 ht="19.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 ht="19.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 ht="19.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 ht="19.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 ht="19.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 ht="19.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 ht="19.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 ht="19.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 ht="19.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 ht="19.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 ht="19.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 ht="19.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 ht="19.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 ht="19.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 ht="19.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 ht="19.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 ht="19.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 ht="19.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 ht="19.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 ht="19.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 ht="19.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 ht="19.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 ht="19.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 ht="19.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 ht="19.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 ht="19.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 ht="19.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 ht="19.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 ht="19.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 ht="19.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 ht="19.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 ht="19.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 ht="19.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 ht="19.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 ht="19.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 ht="19.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 ht="19.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 ht="19.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 ht="19.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 ht="19.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 ht="19.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 ht="19.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 ht="19.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 ht="19.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 ht="19.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 ht="19.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 ht="19.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 ht="19.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 ht="19.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 ht="19.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 ht="19.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 ht="19.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 ht="19.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 ht="19.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 ht="19.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 ht="19.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 ht="19.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 ht="19.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 ht="19.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 ht="19.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 ht="19.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 ht="19.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 ht="19.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 ht="19.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 ht="19.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 ht="19.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 ht="19.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 ht="19.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 ht="19.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 ht="19.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 ht="19.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 ht="19.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 ht="19.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 ht="19.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 ht="19.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 ht="19.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 ht="19.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 ht="19.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 ht="19.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 ht="19.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 ht="19.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 ht="19.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 ht="19.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 ht="19.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 ht="19.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 ht="19.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 ht="19.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 ht="19.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 ht="19.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 ht="19.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 ht="19.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 ht="19.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 ht="19.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 ht="19.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 ht="19.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 ht="19.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 ht="19.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 ht="19.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 ht="19.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 ht="19.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 ht="19.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 ht="19.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 ht="19.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 ht="19.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 ht="19.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 ht="19.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 ht="19.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 ht="19.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 ht="19.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 ht="19.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 ht="19.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 ht="19.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 ht="19.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 ht="19.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 ht="19.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 ht="19.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 ht="19.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 ht="19.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 ht="19.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 ht="19.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 ht="19.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 ht="19.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 ht="19.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 ht="19.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 ht="19.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 ht="19.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 ht="19.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 ht="19.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 ht="19.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 ht="19.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 ht="19.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 ht="19.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 ht="19.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 ht="19.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 ht="19.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 ht="19.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 ht="19.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 ht="19.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 ht="19.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 ht="19.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 ht="19.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 ht="19.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 ht="19.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 ht="19.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 ht="19.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 ht="19.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 ht="19.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 ht="19.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 ht="19.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 ht="19.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 ht="19.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 ht="19.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 ht="19.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 ht="19.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 ht="19.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 ht="19.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 ht="19.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 ht="19.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 ht="19.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 ht="19.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 ht="19.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 ht="19.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 ht="19.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 ht="19.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 ht="19.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 ht="19.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 ht="19.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 ht="19.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 ht="19.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 ht="19.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 ht="19.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 ht="19.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 ht="19.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 ht="19.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 ht="19.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 ht="19.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 ht="19.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 ht="19.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 ht="19.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 ht="19.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 ht="19.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 ht="19.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 ht="19.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 ht="19.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 ht="19.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 ht="19.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 ht="19.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 ht="19.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 ht="19.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 ht="19.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 ht="19.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 ht="19.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 ht="19.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 ht="19.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 ht="19.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 ht="19.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 ht="19.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 ht="19.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 ht="19.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 ht="19.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 ht="19.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 ht="19.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 ht="19.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 ht="19.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 ht="19.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 ht="19.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 ht="19.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 ht="19.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 ht="19.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 ht="19.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 ht="19.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 ht="19.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 ht="19.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 ht="19.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 ht="19.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 ht="19.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 ht="19.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 ht="19.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 ht="19.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 ht="19.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 ht="19.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 ht="19.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 ht="19.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 ht="19.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 ht="19.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 ht="19.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 ht="19.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 ht="19.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 ht="19.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 ht="19.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 ht="19.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 ht="19.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 ht="19.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 ht="19.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 ht="19.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 ht="19.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 ht="19.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 ht="19.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 ht="19.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 ht="19.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 ht="19.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 ht="19.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 ht="19.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 ht="19.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 ht="19.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 ht="19.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 ht="19.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 ht="19.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 ht="19.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 ht="19.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 ht="19.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 ht="19.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 ht="19.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 ht="19.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 ht="19.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 ht="19.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 ht="19.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 ht="19.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 ht="19.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 ht="19.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 ht="19.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 ht="19.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 ht="19.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 ht="19.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 ht="19.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 ht="19.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 ht="19.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 ht="19.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 ht="19.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 ht="19.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 ht="19.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 ht="19.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 ht="19.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 ht="19.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 ht="19.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 ht="19.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 ht="19.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 ht="19.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 ht="19.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 ht="19.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 ht="19.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 ht="19.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 ht="19.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 ht="19.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 ht="19.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 ht="19.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 ht="19.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 ht="19.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 ht="19.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 ht="19.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 ht="19.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 ht="19.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 ht="19.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 ht="19.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 ht="19.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 ht="19.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 ht="19.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 ht="19.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 ht="19.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 ht="19.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 ht="19.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 ht="19.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 ht="19.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 ht="19.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 ht="19.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 ht="19.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 ht="19.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 ht="19.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 ht="19.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 ht="19.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 ht="19.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 ht="19.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 ht="19.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 ht="19.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 ht="19.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 ht="19.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 ht="19.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 ht="19.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 ht="19.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 ht="19.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 ht="19.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 ht="19.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 ht="19.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 ht="19.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 ht="19.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 ht="19.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 ht="19.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 ht="19.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 ht="19.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 ht="19.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 ht="19.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 ht="19.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 ht="19.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 ht="19.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 ht="19.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 ht="19.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 ht="19.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 ht="19.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 ht="19.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 ht="19.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 ht="19.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 ht="19.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 ht="19.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 ht="19.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 ht="19.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 ht="19.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 ht="19.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 ht="19.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 ht="19.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 ht="19.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 ht="19.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 ht="19.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 ht="19.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 ht="19.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 ht="19.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 ht="19.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 ht="19.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 ht="19.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 ht="19.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 ht="19.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 ht="19.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 ht="19.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 ht="19.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 ht="19.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 ht="19.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 ht="19.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 ht="19.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 ht="19.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 ht="19.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 ht="19.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 ht="19.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 ht="19.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 ht="19.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 ht="19.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 ht="19.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 ht="19.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 ht="19.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 ht="19.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 ht="19.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 ht="19.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 ht="19.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 ht="19.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 ht="19.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 ht="19.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 ht="19.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 ht="19.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 ht="19.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 ht="19.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 ht="19.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 ht="19.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 ht="19.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 ht="19.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 ht="19.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 ht="19.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 ht="19.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 ht="19.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 ht="19.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 ht="19.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 ht="19.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 ht="19.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 ht="19.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 ht="19.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 ht="19.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 ht="19.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 ht="19.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 ht="19.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 ht="19.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 ht="19.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 ht="19.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 ht="19.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 ht="19.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 ht="19.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 ht="19.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 ht="19.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 ht="19.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 ht="19.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 ht="19.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 ht="19.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 ht="19.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 ht="19.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 ht="19.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 ht="19.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 ht="19.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 ht="19.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 ht="19.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 ht="19.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 ht="19.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 ht="19.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 ht="19.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 ht="19.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 ht="19.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 ht="19.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 ht="19.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 ht="19.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 ht="19.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 ht="19.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 ht="19.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 ht="19.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 ht="19.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 ht="19.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 ht="19.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 ht="19.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 ht="19.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 ht="19.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 ht="19.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 ht="19.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 ht="19.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 ht="19.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 ht="19.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 ht="19.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 ht="19.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 ht="19.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 ht="19.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 ht="19.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 ht="19.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 ht="19.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 ht="19.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 ht="19.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 ht="19.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 ht="19.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 ht="19.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 ht="19.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 ht="19.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 ht="19.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 ht="19.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 ht="19.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 ht="19.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 ht="19.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 ht="19.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 ht="19.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 ht="19.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 ht="19.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 ht="19.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 ht="19.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 ht="19.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 ht="19.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 ht="19.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 ht="19.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 ht="19.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 ht="19.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 ht="19.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 ht="19.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 ht="19.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 ht="19.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 ht="19.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 ht="19.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 ht="19.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 ht="19.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 ht="19.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 ht="19.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 ht="19.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 ht="19.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 ht="19.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 ht="19.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 ht="19.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 ht="19.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 ht="19.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 ht="19.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 ht="19.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 ht="19.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 ht="19.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 ht="19.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 ht="19.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 ht="19.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 ht="19.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 ht="19.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 ht="19.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 ht="19.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 ht="19.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 ht="19.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 ht="19.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 ht="19.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 ht="19.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 ht="19.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 ht="19.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 ht="19.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 ht="19.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 ht="19.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 ht="19.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 ht="19.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 ht="19.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 ht="19.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 ht="19.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 ht="19.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 ht="19.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 ht="19.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 ht="19.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 ht="19.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 ht="19.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 ht="19.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 ht="19.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 ht="19.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 ht="19.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 ht="19.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 ht="19.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 ht="19.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 ht="19.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 ht="19.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 ht="19.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 ht="19.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 ht="19.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 ht="19.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 ht="19.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 ht="19.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 ht="19.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 ht="19.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 ht="19.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 ht="19.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 ht="19.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 ht="19.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 ht="19.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 ht="19.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 ht="19.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 ht="19.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 ht="19.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 ht="19.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 ht="19.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 ht="19.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 ht="19.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 ht="19.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 ht="19.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 ht="19.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 ht="19.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 ht="19.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 ht="19.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 ht="19.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 ht="19.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 ht="19.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 ht="19.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 ht="19.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 ht="19.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 ht="19.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 ht="19.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 ht="19.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 ht="19.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 ht="19.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 ht="19.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 ht="19.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 ht="19.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 ht="19.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 ht="19.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 ht="19.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 ht="19.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 ht="19.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 ht="19.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 ht="19.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 ht="19.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 ht="19.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 ht="19.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 ht="19.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 ht="19.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 ht="19.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 ht="19.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 ht="19.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 ht="19.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 ht="19.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 ht="19.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 ht="19.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 ht="19.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 ht="19.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 ht="19.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 ht="19.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 ht="19.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 ht="19.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 ht="19.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 ht="19.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 ht="19.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 ht="19.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 ht="19.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 ht="19.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 ht="19.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 ht="19.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 ht="19.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 ht="19.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 ht="19.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 ht="19.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 ht="19.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 ht="19.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 ht="19.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 ht="19.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 ht="19.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 ht="19.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 ht="19.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 ht="19.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 ht="19.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 ht="19.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 ht="19.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 ht="19.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 ht="19.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 ht="19.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 ht="19.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 ht="19.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 ht="19.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 ht="19.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 ht="19.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 ht="19.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 ht="19.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 ht="19.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 ht="19.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 ht="19.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 ht="19.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 ht="19.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 ht="19.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 ht="19.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 ht="19.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 ht="19.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 ht="19.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 ht="19.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 ht="19.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 ht="19.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 ht="19.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 ht="19.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 ht="19.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 ht="19.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 ht="19.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 ht="19.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 ht="19.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 ht="19.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 ht="19.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 ht="19.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 ht="19.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 ht="19.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 ht="19.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 ht="19.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 ht="19.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 ht="19.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 ht="19.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 ht="19.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 ht="19.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 ht="19.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 ht="19.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 ht="19.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 ht="19.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 ht="19.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 ht="19.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 ht="19.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 ht="19.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 ht="19.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 ht="19.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 ht="19.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 ht="19.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 ht="19.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 ht="19.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 ht="19.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 ht="19.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 ht="19.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 ht="19.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 ht="19.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 ht="19.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 ht="19.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 ht="19.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 ht="19.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 ht="19.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 ht="19.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 ht="19.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 ht="19.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 ht="19.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 ht="19.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 ht="19.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 ht="19.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 ht="19.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 ht="19.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 ht="19.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 ht="19.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 ht="19.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 ht="19.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 ht="19.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 ht="19.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 ht="19.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 ht="19.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 ht="19.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 ht="19.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 ht="19.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 ht="19.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 ht="19.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 ht="19.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 ht="19.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 ht="19.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 ht="19.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 ht="19.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  <row r="1001" ht="19.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</row>
    <row r="1002" ht="19.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</row>
    <row r="1003" ht="19.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</row>
    <row r="1004" ht="19.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</row>
    <row r="1005" ht="19.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</row>
    <row r="1006" ht="19.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</row>
    <row r="1007" ht="19.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</row>
    <row r="1008" ht="19.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</row>
    <row r="1009" ht="19.5" customHeight="1">
      <c r="A1009" s="63"/>
      <c r="B1009" s="63"/>
      <c r="C1009" s="63"/>
      <c r="D1009" s="63"/>
      <c r="E1009" s="63"/>
      <c r="F1009" s="63"/>
      <c r="G1009" s="63"/>
      <c r="H1009" s="63"/>
      <c r="I1009" s="63"/>
      <c r="J1009" s="63"/>
      <c r="K1009" s="63"/>
      <c r="L1009" s="63"/>
      <c r="M1009" s="63"/>
      <c r="N1009" s="63"/>
      <c r="O1009" s="63"/>
      <c r="P1009" s="63"/>
      <c r="Q1009" s="63"/>
      <c r="R1009" s="63"/>
      <c r="S1009" s="63"/>
      <c r="T1009" s="63"/>
      <c r="U1009" s="63"/>
      <c r="V1009" s="63"/>
      <c r="W1009" s="63"/>
      <c r="X1009" s="63"/>
      <c r="Y1009" s="63"/>
      <c r="Z1009" s="63"/>
    </row>
    <row r="1010" ht="19.5" customHeight="1">
      <c r="A1010" s="63"/>
      <c r="B1010" s="63"/>
      <c r="C1010" s="63"/>
      <c r="D1010" s="63"/>
      <c r="E1010" s="63"/>
      <c r="F1010" s="63"/>
      <c r="G1010" s="63"/>
      <c r="H1010" s="63"/>
      <c r="I1010" s="63"/>
      <c r="J1010" s="63"/>
      <c r="K1010" s="63"/>
      <c r="L1010" s="63"/>
      <c r="M1010" s="63"/>
      <c r="N1010" s="63"/>
      <c r="O1010" s="63"/>
      <c r="P1010" s="63"/>
      <c r="Q1010" s="63"/>
      <c r="R1010" s="63"/>
      <c r="S1010" s="63"/>
      <c r="T1010" s="63"/>
      <c r="U1010" s="63"/>
      <c r="V1010" s="63"/>
      <c r="W1010" s="63"/>
      <c r="X1010" s="63"/>
      <c r="Y1010" s="63"/>
      <c r="Z1010" s="63"/>
    </row>
    <row r="1011" ht="19.5" customHeight="1">
      <c r="A1011" s="63"/>
      <c r="B1011" s="63"/>
      <c r="C1011" s="63"/>
      <c r="D1011" s="63"/>
      <c r="E1011" s="63"/>
      <c r="F1011" s="63"/>
      <c r="G1011" s="63"/>
      <c r="H1011" s="63"/>
      <c r="I1011" s="63"/>
      <c r="J1011" s="63"/>
      <c r="K1011" s="63"/>
      <c r="L1011" s="63"/>
      <c r="M1011" s="63"/>
      <c r="N1011" s="63"/>
      <c r="O1011" s="63"/>
      <c r="P1011" s="63"/>
      <c r="Q1011" s="63"/>
      <c r="R1011" s="63"/>
      <c r="S1011" s="63"/>
      <c r="T1011" s="63"/>
      <c r="U1011" s="63"/>
      <c r="V1011" s="63"/>
      <c r="W1011" s="63"/>
      <c r="X1011" s="63"/>
      <c r="Y1011" s="63"/>
      <c r="Z1011" s="63"/>
    </row>
    <row r="1012" ht="19.5" customHeight="1">
      <c r="A1012" s="63"/>
      <c r="B1012" s="63"/>
      <c r="C1012" s="63"/>
      <c r="D1012" s="63"/>
      <c r="E1012" s="63"/>
      <c r="F1012" s="63"/>
      <c r="G1012" s="63"/>
      <c r="H1012" s="63"/>
      <c r="I1012" s="63"/>
      <c r="J1012" s="63"/>
      <c r="K1012" s="63"/>
      <c r="L1012" s="63"/>
      <c r="M1012" s="63"/>
      <c r="N1012" s="63"/>
      <c r="O1012" s="63"/>
      <c r="P1012" s="63"/>
      <c r="Q1012" s="63"/>
      <c r="R1012" s="63"/>
      <c r="S1012" s="63"/>
      <c r="T1012" s="63"/>
      <c r="U1012" s="63"/>
      <c r="V1012" s="63"/>
      <c r="W1012" s="63"/>
      <c r="X1012" s="63"/>
      <c r="Y1012" s="63"/>
      <c r="Z1012" s="63"/>
    </row>
    <row r="1013" ht="19.5" customHeight="1">
      <c r="A1013" s="63"/>
      <c r="B1013" s="63"/>
      <c r="C1013" s="63"/>
      <c r="D1013" s="63"/>
      <c r="E1013" s="63"/>
      <c r="F1013" s="63"/>
      <c r="G1013" s="63"/>
      <c r="H1013" s="63"/>
      <c r="I1013" s="63"/>
      <c r="J1013" s="63"/>
      <c r="K1013" s="63"/>
      <c r="L1013" s="63"/>
      <c r="M1013" s="63"/>
      <c r="N1013" s="63"/>
      <c r="O1013" s="63"/>
      <c r="P1013" s="63"/>
      <c r="Q1013" s="63"/>
      <c r="R1013" s="63"/>
      <c r="S1013" s="63"/>
      <c r="T1013" s="63"/>
      <c r="U1013" s="63"/>
      <c r="V1013" s="63"/>
      <c r="W1013" s="63"/>
      <c r="X1013" s="63"/>
      <c r="Y1013" s="63"/>
      <c r="Z1013" s="63"/>
    </row>
    <row r="1014" ht="19.5" customHeight="1">
      <c r="A1014" s="63"/>
      <c r="B1014" s="63"/>
      <c r="C1014" s="63"/>
      <c r="D1014" s="63"/>
      <c r="E1014" s="63"/>
      <c r="F1014" s="63"/>
      <c r="G1014" s="63"/>
      <c r="H1014" s="63"/>
      <c r="I1014" s="63"/>
      <c r="J1014" s="63"/>
      <c r="K1014" s="63"/>
      <c r="L1014" s="63"/>
      <c r="M1014" s="63"/>
      <c r="N1014" s="63"/>
      <c r="O1014" s="63"/>
      <c r="P1014" s="63"/>
      <c r="Q1014" s="63"/>
      <c r="R1014" s="63"/>
      <c r="S1014" s="63"/>
      <c r="T1014" s="63"/>
      <c r="U1014" s="63"/>
      <c r="V1014" s="63"/>
      <c r="W1014" s="63"/>
      <c r="X1014" s="63"/>
      <c r="Y1014" s="63"/>
      <c r="Z1014" s="63"/>
    </row>
    <row r="1015" ht="19.5" customHeight="1">
      <c r="A1015" s="63"/>
      <c r="B1015" s="63"/>
      <c r="C1015" s="63"/>
      <c r="D1015" s="63"/>
      <c r="E1015" s="63"/>
      <c r="F1015" s="63"/>
      <c r="G1015" s="63"/>
      <c r="H1015" s="63"/>
      <c r="I1015" s="63"/>
      <c r="J1015" s="63"/>
      <c r="K1015" s="63"/>
      <c r="L1015" s="63"/>
      <c r="M1015" s="63"/>
      <c r="N1015" s="63"/>
      <c r="O1015" s="63"/>
      <c r="P1015" s="63"/>
      <c r="Q1015" s="63"/>
      <c r="R1015" s="63"/>
      <c r="S1015" s="63"/>
      <c r="T1015" s="63"/>
      <c r="U1015" s="63"/>
      <c r="V1015" s="63"/>
      <c r="W1015" s="63"/>
      <c r="X1015" s="63"/>
      <c r="Y1015" s="63"/>
      <c r="Z1015" s="63"/>
    </row>
    <row r="1016" ht="19.5" customHeight="1">
      <c r="A1016" s="63"/>
      <c r="B1016" s="63"/>
      <c r="C1016" s="63"/>
      <c r="D1016" s="63"/>
      <c r="E1016" s="63"/>
      <c r="F1016" s="63"/>
      <c r="G1016" s="63"/>
      <c r="H1016" s="63"/>
      <c r="I1016" s="63"/>
      <c r="J1016" s="63"/>
      <c r="K1016" s="63"/>
      <c r="L1016" s="63"/>
      <c r="M1016" s="63"/>
      <c r="N1016" s="63"/>
      <c r="O1016" s="63"/>
      <c r="P1016" s="63"/>
      <c r="Q1016" s="63"/>
      <c r="R1016" s="63"/>
      <c r="S1016" s="63"/>
      <c r="T1016" s="63"/>
      <c r="U1016" s="63"/>
      <c r="V1016" s="63"/>
      <c r="W1016" s="63"/>
      <c r="X1016" s="63"/>
      <c r="Y1016" s="63"/>
      <c r="Z1016" s="63"/>
    </row>
    <row r="1017" ht="19.5" customHeight="1">
      <c r="A1017" s="63"/>
      <c r="B1017" s="63"/>
      <c r="C1017" s="63"/>
      <c r="D1017" s="63"/>
      <c r="E1017" s="63"/>
      <c r="F1017" s="63"/>
      <c r="G1017" s="63"/>
      <c r="H1017" s="63"/>
      <c r="I1017" s="63"/>
      <c r="J1017" s="63"/>
      <c r="K1017" s="63"/>
      <c r="L1017" s="63"/>
      <c r="M1017" s="63"/>
      <c r="N1017" s="63"/>
      <c r="O1017" s="63"/>
      <c r="P1017" s="63"/>
      <c r="Q1017" s="63"/>
      <c r="R1017" s="63"/>
      <c r="S1017" s="63"/>
      <c r="T1017" s="63"/>
      <c r="U1017" s="63"/>
      <c r="V1017" s="63"/>
      <c r="W1017" s="63"/>
      <c r="X1017" s="63"/>
      <c r="Y1017" s="63"/>
      <c r="Z1017" s="63"/>
    </row>
    <row r="1018" ht="19.5" customHeight="1">
      <c r="A1018" s="63"/>
      <c r="B1018" s="63"/>
      <c r="C1018" s="63"/>
      <c r="D1018" s="63"/>
      <c r="E1018" s="63"/>
      <c r="F1018" s="63"/>
      <c r="G1018" s="63"/>
      <c r="H1018" s="63"/>
      <c r="I1018" s="63"/>
      <c r="J1018" s="63"/>
      <c r="K1018" s="63"/>
      <c r="L1018" s="63"/>
      <c r="M1018" s="63"/>
      <c r="N1018" s="63"/>
      <c r="O1018" s="63"/>
      <c r="P1018" s="63"/>
      <c r="Q1018" s="63"/>
      <c r="R1018" s="63"/>
      <c r="S1018" s="63"/>
      <c r="T1018" s="63"/>
      <c r="U1018" s="63"/>
      <c r="V1018" s="63"/>
      <c r="W1018" s="63"/>
      <c r="X1018" s="63"/>
      <c r="Y1018" s="63"/>
      <c r="Z1018" s="63"/>
    </row>
    <row r="1019" ht="19.5" customHeight="1">
      <c r="A1019" s="63"/>
      <c r="B1019" s="63"/>
      <c r="C1019" s="63"/>
      <c r="D1019" s="63"/>
      <c r="E1019" s="63"/>
      <c r="F1019" s="63"/>
      <c r="G1019" s="63"/>
      <c r="H1019" s="63"/>
      <c r="I1019" s="63"/>
      <c r="J1019" s="63"/>
      <c r="K1019" s="63"/>
      <c r="L1019" s="63"/>
      <c r="M1019" s="63"/>
      <c r="N1019" s="63"/>
      <c r="O1019" s="63"/>
      <c r="P1019" s="63"/>
      <c r="Q1019" s="63"/>
      <c r="R1019" s="63"/>
      <c r="S1019" s="63"/>
      <c r="T1019" s="63"/>
      <c r="U1019" s="63"/>
      <c r="V1019" s="63"/>
      <c r="W1019" s="63"/>
      <c r="X1019" s="63"/>
      <c r="Y1019" s="63"/>
      <c r="Z1019" s="63"/>
    </row>
    <row r="1020" ht="19.5" customHeight="1">
      <c r="A1020" s="63"/>
      <c r="B1020" s="63"/>
      <c r="C1020" s="63"/>
      <c r="D1020" s="63"/>
      <c r="E1020" s="63"/>
      <c r="F1020" s="63"/>
      <c r="G1020" s="63"/>
      <c r="H1020" s="63"/>
      <c r="I1020" s="63"/>
      <c r="J1020" s="63"/>
      <c r="K1020" s="63"/>
      <c r="L1020" s="63"/>
      <c r="M1020" s="63"/>
      <c r="N1020" s="63"/>
      <c r="O1020" s="63"/>
      <c r="P1020" s="63"/>
      <c r="Q1020" s="63"/>
      <c r="R1020" s="63"/>
      <c r="S1020" s="63"/>
      <c r="T1020" s="63"/>
      <c r="U1020" s="63"/>
      <c r="V1020" s="63"/>
      <c r="W1020" s="63"/>
      <c r="X1020" s="63"/>
      <c r="Y1020" s="63"/>
      <c r="Z1020" s="63"/>
    </row>
  </sheetData>
  <mergeCells count="18">
    <mergeCell ref="A23:A32"/>
    <mergeCell ref="A33:A42"/>
    <mergeCell ref="A43:A52"/>
    <mergeCell ref="A53:A62"/>
    <mergeCell ref="A63:A72"/>
    <mergeCell ref="A73:A82"/>
    <mergeCell ref="B33:F42"/>
    <mergeCell ref="B43:F52"/>
    <mergeCell ref="B53:F62"/>
    <mergeCell ref="B63:F72"/>
    <mergeCell ref="B73:F82"/>
    <mergeCell ref="A1:F1"/>
    <mergeCell ref="A2:F2"/>
    <mergeCell ref="A3:A12"/>
    <mergeCell ref="B3:F12"/>
    <mergeCell ref="A13:A22"/>
    <mergeCell ref="B13:F22"/>
    <mergeCell ref="B23:F32"/>
  </mergeCells>
  <printOptions/>
  <pageMargins bottom="1.0" footer="0.0" header="0.0" left="1.0" right="1.0" top="1.0"/>
  <pageSetup orientation="portrait"/>
  <headerFooter>
    <oddFooter>&amp;C000000&amp;P</oddFooter>
  </headerFooter>
  <drawing r:id="rId1"/>
</worksheet>
</file>